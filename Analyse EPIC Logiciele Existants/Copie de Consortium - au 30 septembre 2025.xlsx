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5526292C-B846-4A2D-9A3E-722B582B3F27}" xr6:coauthVersionLast="47" xr6:coauthVersionMax="47" xr10:uidLastSave="{00000000-0000-0000-0000-000000000000}"/>
  <bookViews>
    <workbookView xWindow="-120" yWindow="330" windowWidth="38640" windowHeight="21390" tabRatio="668" xr2:uid="{00000000-000D-0000-FFFF-FFFF00000000}"/>
  </bookViews>
  <sheets>
    <sheet name="Tableau de Bord" sheetId="22" r:id="rId1"/>
    <sheet name="consolidé" sheetId="10" r:id="rId2"/>
    <sheet name="Facturation Client" sheetId="7" r:id="rId3"/>
    <sheet name="Société C-1" sheetId="6" r:id="rId4"/>
    <sheet name="Société C-2" sheetId="18" r:id="rId5"/>
    <sheet name="Société B" sheetId="19" r:id="rId6"/>
    <sheet name="Société A" sheetId="20" r:id="rId7"/>
    <sheet name="Consultants" sheetId="21" r:id="rId8"/>
  </sheets>
  <definedNames>
    <definedName name="_xlnm._FilterDatabase" localSheetId="1" hidden="1">consolidé!#REF!</definedName>
    <definedName name="_xlnm._FilterDatabase" localSheetId="7" hidden="1">Consultants!#REF!</definedName>
    <definedName name="_xlnm._FilterDatabase" localSheetId="2" hidden="1">'Facturation Client'!#REF!</definedName>
    <definedName name="_xlnm._FilterDatabase" localSheetId="6" hidden="1">'Société A'!$B$8:$L$16</definedName>
    <definedName name="_xlnm._FilterDatabase" localSheetId="5" hidden="1">'Société B'!$B$8:$L$16</definedName>
    <definedName name="_xlnm._FilterDatabase" localSheetId="3" hidden="1">'Société C-1'!$B$8:$L$16</definedName>
    <definedName name="_xlnm._FilterDatabase" localSheetId="4" hidden="1">'Société C-2'!$B$8:$L$16</definedName>
    <definedName name="Print_Area" localSheetId="1">consolidé!$A$1:$S$83</definedName>
    <definedName name="Print_Area" localSheetId="7">Consultants!#REF!</definedName>
    <definedName name="Print_Area" localSheetId="2">'Facturation Client'!$A$1:$M$50</definedName>
    <definedName name="Print_Area" localSheetId="6">'Société A'!$A$1:$O$68</definedName>
    <definedName name="Print_Area" localSheetId="5">'Société B'!$A$1:$O$69</definedName>
    <definedName name="Print_Area" localSheetId="3">'Société C-1'!$A$1:$O$70</definedName>
    <definedName name="Print_Area" localSheetId="4">'Société C-2'!$A$1:$O$36</definedName>
    <definedName name="_xlnm.Print_Area" localSheetId="1">consolidé!$A$1:$S$87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5" i="22" l="1"/>
  <c r="K25" i="22"/>
  <c r="J25" i="22"/>
  <c r="K27" i="22"/>
  <c r="G18" i="22"/>
  <c r="H18" i="22" s="1"/>
  <c r="G17" i="22"/>
  <c r="I17" i="22" s="1"/>
  <c r="G16" i="22"/>
  <c r="H16" i="22" s="1"/>
  <c r="G15" i="22"/>
  <c r="E15" i="22"/>
  <c r="K28" i="22"/>
  <c r="J26" i="22"/>
  <c r="F28" i="22"/>
  <c r="B26" i="22"/>
  <c r="B27" i="22"/>
  <c r="B29" i="22"/>
  <c r="G29" i="22" s="1"/>
  <c r="F25" i="22"/>
  <c r="O68" i="20"/>
  <c r="I15" i="22"/>
  <c r="B7" i="22"/>
  <c r="B15" i="22"/>
  <c r="B19" i="22" s="1"/>
  <c r="E19" i="22" s="1"/>
  <c r="B54" i="22"/>
  <c r="B53" i="22"/>
  <c r="B52" i="22"/>
  <c r="B47" i="22"/>
  <c r="E40" i="22"/>
  <c r="D40" i="22"/>
  <c r="C40" i="22"/>
  <c r="B40" i="22"/>
  <c r="F39" i="22"/>
  <c r="E39" i="22"/>
  <c r="D39" i="22"/>
  <c r="C39" i="22"/>
  <c r="B39" i="22"/>
  <c r="F38" i="22"/>
  <c r="E38" i="22"/>
  <c r="D38" i="22"/>
  <c r="C38" i="22"/>
  <c r="B38" i="22"/>
  <c r="F37" i="22"/>
  <c r="E37" i="22"/>
  <c r="D37" i="22"/>
  <c r="C37" i="22"/>
  <c r="B37" i="22"/>
  <c r="F36" i="22"/>
  <c r="E36" i="22"/>
  <c r="D36" i="22"/>
  <c r="C36" i="22"/>
  <c r="B36" i="22"/>
  <c r="F35" i="22"/>
  <c r="E35" i="22"/>
  <c r="D35" i="22"/>
  <c r="C35" i="22"/>
  <c r="B35" i="22"/>
  <c r="I29" i="22"/>
  <c r="E29" i="22"/>
  <c r="D29" i="22"/>
  <c r="C29" i="22"/>
  <c r="J28" i="22"/>
  <c r="G28" i="22"/>
  <c r="E28" i="22"/>
  <c r="D28" i="22"/>
  <c r="C28" i="22"/>
  <c r="J27" i="22"/>
  <c r="G27" i="22"/>
  <c r="F27" i="22"/>
  <c r="E27" i="22"/>
  <c r="D27" i="22"/>
  <c r="C27" i="22"/>
  <c r="K26" i="22"/>
  <c r="G26" i="22"/>
  <c r="F26" i="22"/>
  <c r="E26" i="22"/>
  <c r="D26" i="22"/>
  <c r="C26" i="22"/>
  <c r="E25" i="22"/>
  <c r="D25" i="22"/>
  <c r="C25" i="22"/>
  <c r="F19" i="22"/>
  <c r="B46" i="22" s="1"/>
  <c r="C19" i="22"/>
  <c r="I18" i="22"/>
  <c r="E18" i="22"/>
  <c r="D18" i="22"/>
  <c r="C18" i="22"/>
  <c r="B18" i="22"/>
  <c r="H17" i="22"/>
  <c r="E17" i="22"/>
  <c r="D17" i="22"/>
  <c r="C17" i="22"/>
  <c r="B17" i="22"/>
  <c r="E16" i="22"/>
  <c r="D16" i="22"/>
  <c r="C16" i="22"/>
  <c r="B16" i="22"/>
  <c r="H15" i="22"/>
  <c r="D15" i="22"/>
  <c r="D19" i="22" s="1"/>
  <c r="C15" i="22"/>
  <c r="B10" i="22"/>
  <c r="B9" i="22"/>
  <c r="B8" i="22"/>
  <c r="B6" i="22"/>
  <c r="S68" i="10"/>
  <c r="G66" i="20"/>
  <c r="E66" i="20"/>
  <c r="G65" i="20"/>
  <c r="E65" i="20"/>
  <c r="G64" i="20"/>
  <c r="I64" i="20"/>
  <c r="F66" i="20"/>
  <c r="K66" i="10" s="1"/>
  <c r="F65" i="20"/>
  <c r="F64" i="20"/>
  <c r="E64" i="20"/>
  <c r="F67" i="19"/>
  <c r="F66" i="19"/>
  <c r="I67" i="19"/>
  <c r="I66" i="19"/>
  <c r="K66" i="19" s="1"/>
  <c r="I65" i="19"/>
  <c r="G65" i="19"/>
  <c r="I64" i="10" s="1"/>
  <c r="F65" i="19"/>
  <c r="F68" i="6"/>
  <c r="F67" i="6"/>
  <c r="I68" i="6"/>
  <c r="I67" i="6"/>
  <c r="I66" i="6"/>
  <c r="G66" i="6"/>
  <c r="C64" i="10" s="1"/>
  <c r="E66" i="6"/>
  <c r="F66" i="6"/>
  <c r="Q68" i="10"/>
  <c r="P65" i="10"/>
  <c r="B64" i="10"/>
  <c r="D64" i="10"/>
  <c r="O64" i="10" s="1"/>
  <c r="H64" i="10"/>
  <c r="J64" i="10"/>
  <c r="K64" i="10"/>
  <c r="L64" i="10"/>
  <c r="M64" i="10"/>
  <c r="B65" i="10"/>
  <c r="C65" i="10"/>
  <c r="D65" i="10"/>
  <c r="H65" i="10"/>
  <c r="I65" i="10"/>
  <c r="J65" i="10"/>
  <c r="L65" i="10"/>
  <c r="M65" i="10"/>
  <c r="O65" i="10"/>
  <c r="B66" i="10"/>
  <c r="C66" i="10"/>
  <c r="D66" i="10"/>
  <c r="H66" i="10"/>
  <c r="I66" i="10"/>
  <c r="J66" i="10"/>
  <c r="L66" i="10"/>
  <c r="M66" i="10"/>
  <c r="O66" i="10" s="1"/>
  <c r="F50" i="7"/>
  <c r="G34" i="7"/>
  <c r="F34" i="7"/>
  <c r="I64" i="19"/>
  <c r="J64" i="19"/>
  <c r="K64" i="19"/>
  <c r="L64" i="19"/>
  <c r="N64" i="19"/>
  <c r="F64" i="19"/>
  <c r="F63" i="19"/>
  <c r="H62" i="10" s="1"/>
  <c r="F62" i="19"/>
  <c r="H61" i="10" s="1"/>
  <c r="M61" i="10"/>
  <c r="M62" i="10"/>
  <c r="M63" i="10"/>
  <c r="D61" i="10"/>
  <c r="I61" i="10"/>
  <c r="J61" i="10"/>
  <c r="D62" i="10"/>
  <c r="I62" i="10"/>
  <c r="J62" i="10"/>
  <c r="C63" i="10"/>
  <c r="D63" i="10"/>
  <c r="H63" i="10"/>
  <c r="I63" i="10"/>
  <c r="J63" i="10"/>
  <c r="Q63" i="10"/>
  <c r="E32" i="21"/>
  <c r="F63" i="20"/>
  <c r="G63" i="20" s="1"/>
  <c r="L63" i="10" s="1"/>
  <c r="D63" i="20"/>
  <c r="E63" i="20" s="1"/>
  <c r="F62" i="20"/>
  <c r="D62" i="20"/>
  <c r="E62" i="20" s="1"/>
  <c r="F61" i="20"/>
  <c r="K61" i="10" s="1"/>
  <c r="E61" i="20"/>
  <c r="F65" i="6"/>
  <c r="I65" i="6" s="1"/>
  <c r="E64" i="6"/>
  <c r="F64" i="6"/>
  <c r="B62" i="10" s="1"/>
  <c r="E63" i="6"/>
  <c r="F63" i="6"/>
  <c r="F79" i="10"/>
  <c r="H60" i="10"/>
  <c r="Q58" i="10"/>
  <c r="E166" i="21"/>
  <c r="Q60" i="10"/>
  <c r="E60" i="21"/>
  <c r="Q59" i="10"/>
  <c r="D60" i="20"/>
  <c r="E60" i="20" s="1"/>
  <c r="E59" i="20"/>
  <c r="F59" i="20"/>
  <c r="K59" i="10" s="1"/>
  <c r="D58" i="20"/>
  <c r="F58" i="20" s="1"/>
  <c r="F60" i="19"/>
  <c r="I60" i="19" s="1"/>
  <c r="F59" i="19"/>
  <c r="I59" i="19" s="1"/>
  <c r="K59" i="19" s="1"/>
  <c r="D58" i="10"/>
  <c r="I58" i="10"/>
  <c r="J58" i="10"/>
  <c r="M58" i="10"/>
  <c r="D59" i="10"/>
  <c r="I59" i="10"/>
  <c r="J59" i="10"/>
  <c r="M59" i="10"/>
  <c r="D60" i="10"/>
  <c r="I60" i="10"/>
  <c r="J60" i="10"/>
  <c r="M60" i="10"/>
  <c r="E62" i="6"/>
  <c r="F62" i="6"/>
  <c r="E61" i="6"/>
  <c r="F61" i="6"/>
  <c r="B59" i="10" s="1"/>
  <c r="E60" i="6"/>
  <c r="F60" i="6"/>
  <c r="B58" i="10" s="1"/>
  <c r="E57" i="20"/>
  <c r="F57" i="20"/>
  <c r="G57" i="20" s="1"/>
  <c r="I57" i="20" s="1"/>
  <c r="F58" i="19"/>
  <c r="I58" i="19" s="1"/>
  <c r="Q54" i="10"/>
  <c r="E157" i="21"/>
  <c r="Q56" i="10"/>
  <c r="E56" i="20"/>
  <c r="F56" i="20"/>
  <c r="H55" i="20"/>
  <c r="E55" i="20"/>
  <c r="F55" i="20"/>
  <c r="F57" i="19"/>
  <c r="I57" i="19" s="1"/>
  <c r="F56" i="19"/>
  <c r="I56" i="19" s="1"/>
  <c r="B49" i="22" l="1"/>
  <c r="B48" i="22"/>
  <c r="I16" i="22"/>
  <c r="G19" i="22"/>
  <c r="I19" i="22"/>
  <c r="H29" i="22"/>
  <c r="K29" i="22" s="1"/>
  <c r="J29" i="22"/>
  <c r="F29" i="22"/>
  <c r="G25" i="22"/>
  <c r="H19" i="22"/>
  <c r="I66" i="20"/>
  <c r="K66" i="20" s="1"/>
  <c r="I65" i="20"/>
  <c r="J65" i="20" s="1"/>
  <c r="K65" i="10"/>
  <c r="J66" i="20"/>
  <c r="L66" i="20" s="1"/>
  <c r="N66" i="20" s="1"/>
  <c r="J64" i="20"/>
  <c r="K64" i="20"/>
  <c r="J67" i="19"/>
  <c r="K67" i="19"/>
  <c r="J66" i="19"/>
  <c r="L66" i="19" s="1"/>
  <c r="N66" i="19" s="1"/>
  <c r="J65" i="19"/>
  <c r="L65" i="19" s="1"/>
  <c r="N65" i="19" s="1"/>
  <c r="K65" i="19"/>
  <c r="N66" i="10"/>
  <c r="R66" i="10" s="1"/>
  <c r="S66" i="10"/>
  <c r="N65" i="10"/>
  <c r="J68" i="6"/>
  <c r="K68" i="6"/>
  <c r="J67" i="6"/>
  <c r="K67" i="6"/>
  <c r="J66" i="6"/>
  <c r="L66" i="6" s="1"/>
  <c r="N66" i="6" s="1"/>
  <c r="K66" i="6"/>
  <c r="N64" i="10"/>
  <c r="O61" i="10"/>
  <c r="F60" i="20"/>
  <c r="K60" i="10" s="1"/>
  <c r="K63" i="10"/>
  <c r="G62" i="20"/>
  <c r="L62" i="10" s="1"/>
  <c r="K62" i="10"/>
  <c r="G61" i="20"/>
  <c r="L61" i="10" s="1"/>
  <c r="I61" i="20"/>
  <c r="J61" i="20" s="1"/>
  <c r="I63" i="20"/>
  <c r="J63" i="20" s="1"/>
  <c r="O62" i="10"/>
  <c r="I62" i="19"/>
  <c r="J62" i="19" s="1"/>
  <c r="H58" i="10"/>
  <c r="I63" i="19"/>
  <c r="K63" i="19" s="1"/>
  <c r="G64" i="6"/>
  <c r="B63" i="10"/>
  <c r="N63" i="10" s="1"/>
  <c r="B61" i="10"/>
  <c r="G63" i="6"/>
  <c r="C61" i="10" s="1"/>
  <c r="O63" i="10"/>
  <c r="K62" i="19"/>
  <c r="I61" i="19"/>
  <c r="K61" i="19" s="1"/>
  <c r="H59" i="10"/>
  <c r="G59" i="20"/>
  <c r="L59" i="10" s="1"/>
  <c r="O59" i="10"/>
  <c r="K58" i="10"/>
  <c r="G58" i="20"/>
  <c r="L58" i="10" s="1"/>
  <c r="I58" i="20"/>
  <c r="J58" i="20" s="1"/>
  <c r="E58" i="20"/>
  <c r="O58" i="10"/>
  <c r="G60" i="20"/>
  <c r="L60" i="10" s="1"/>
  <c r="K65" i="6"/>
  <c r="J65" i="6"/>
  <c r="O60" i="10"/>
  <c r="G60" i="6"/>
  <c r="G61" i="6"/>
  <c r="B60" i="10"/>
  <c r="G62" i="6"/>
  <c r="C60" i="10" s="1"/>
  <c r="K60" i="19"/>
  <c r="J60" i="19"/>
  <c r="J59" i="19"/>
  <c r="L59" i="19" s="1"/>
  <c r="N59" i="19" s="1"/>
  <c r="G55" i="20"/>
  <c r="I55" i="20" s="1"/>
  <c r="L55" i="20" s="1"/>
  <c r="N55" i="20" s="1"/>
  <c r="G56" i="20"/>
  <c r="I56" i="20" s="1"/>
  <c r="J57" i="20"/>
  <c r="K57" i="20"/>
  <c r="K57" i="19"/>
  <c r="K58" i="19"/>
  <c r="J57" i="19"/>
  <c r="J56" i="19"/>
  <c r="J58" i="19"/>
  <c r="K56" i="19"/>
  <c r="K65" i="20" l="1"/>
  <c r="L65" i="20"/>
  <c r="N65" i="20" s="1"/>
  <c r="L64" i="20"/>
  <c r="N64" i="20" s="1"/>
  <c r="L67" i="19"/>
  <c r="N67" i="19" s="1"/>
  <c r="L68" i="6"/>
  <c r="N68" i="6" s="1"/>
  <c r="L67" i="6"/>
  <c r="N67" i="6" s="1"/>
  <c r="S65" i="10"/>
  <c r="R65" i="10"/>
  <c r="R64" i="10"/>
  <c r="S64" i="10"/>
  <c r="I59" i="20"/>
  <c r="K61" i="20"/>
  <c r="L61" i="20"/>
  <c r="N61" i="20" s="1"/>
  <c r="K63" i="20"/>
  <c r="L63" i="20" s="1"/>
  <c r="N63" i="20" s="1"/>
  <c r="I62" i="20"/>
  <c r="R63" i="10"/>
  <c r="L60" i="19"/>
  <c r="N60" i="19" s="1"/>
  <c r="J61" i="19"/>
  <c r="L61" i="19" s="1"/>
  <c r="N61" i="19" s="1"/>
  <c r="L62" i="19"/>
  <c r="N62" i="19" s="1"/>
  <c r="J63" i="19"/>
  <c r="L63" i="19" s="1"/>
  <c r="N63" i="19" s="1"/>
  <c r="N61" i="10"/>
  <c r="R61" i="10" s="1"/>
  <c r="S63" i="10"/>
  <c r="I64" i="6"/>
  <c r="C62" i="10"/>
  <c r="N62" i="10" s="1"/>
  <c r="I63" i="6"/>
  <c r="N60" i="10"/>
  <c r="R60" i="10" s="1"/>
  <c r="I60" i="20"/>
  <c r="K60" i="20" s="1"/>
  <c r="K58" i="20"/>
  <c r="L58" i="20" s="1"/>
  <c r="N58" i="20" s="1"/>
  <c r="L65" i="6"/>
  <c r="N65" i="6" s="1"/>
  <c r="I61" i="6"/>
  <c r="C59" i="10"/>
  <c r="N59" i="10" s="1"/>
  <c r="R59" i="10" s="1"/>
  <c r="C58" i="10"/>
  <c r="N58" i="10" s="1"/>
  <c r="S58" i="10" s="1"/>
  <c r="I60" i="6"/>
  <c r="I62" i="6"/>
  <c r="K56" i="20"/>
  <c r="J56" i="20"/>
  <c r="L57" i="20"/>
  <c r="N57" i="20" s="1"/>
  <c r="L58" i="19"/>
  <c r="N58" i="19" s="1"/>
  <c r="L57" i="19"/>
  <c r="N57" i="19" s="1"/>
  <c r="L56" i="19"/>
  <c r="N56" i="19" s="1"/>
  <c r="F59" i="6"/>
  <c r="B57" i="10" s="1"/>
  <c r="F58" i="6"/>
  <c r="B56" i="10" s="1"/>
  <c r="F57" i="6"/>
  <c r="B55" i="10" s="1"/>
  <c r="H55" i="10"/>
  <c r="I55" i="10"/>
  <c r="J55" i="10"/>
  <c r="K55" i="10"/>
  <c r="L55" i="10"/>
  <c r="M55" i="10"/>
  <c r="H56" i="10"/>
  <c r="I56" i="10"/>
  <c r="J56" i="10"/>
  <c r="K56" i="10"/>
  <c r="L56" i="10"/>
  <c r="M56" i="10"/>
  <c r="H57" i="10"/>
  <c r="I57" i="10"/>
  <c r="J57" i="10"/>
  <c r="K57" i="10"/>
  <c r="L57" i="10"/>
  <c r="M57" i="10"/>
  <c r="D55" i="10"/>
  <c r="D56" i="10"/>
  <c r="D57" i="10"/>
  <c r="L33" i="7"/>
  <c r="Q55" i="10"/>
  <c r="F55" i="19"/>
  <c r="Q53" i="10"/>
  <c r="Q52" i="10"/>
  <c r="J59" i="20" l="1"/>
  <c r="K59" i="20"/>
  <c r="K62" i="20"/>
  <c r="J62" i="20"/>
  <c r="S61" i="10"/>
  <c r="K63" i="6"/>
  <c r="J63" i="6"/>
  <c r="R62" i="10"/>
  <c r="S62" i="10"/>
  <c r="K64" i="6"/>
  <c r="J64" i="6"/>
  <c r="L64" i="6" s="1"/>
  <c r="N64" i="6" s="1"/>
  <c r="S60" i="10"/>
  <c r="L56" i="20"/>
  <c r="N56" i="20" s="1"/>
  <c r="J60" i="20"/>
  <c r="L60" i="20" s="1"/>
  <c r="N60" i="20" s="1"/>
  <c r="S59" i="10"/>
  <c r="J62" i="6"/>
  <c r="K62" i="6"/>
  <c r="J60" i="6"/>
  <c r="K60" i="6"/>
  <c r="R58" i="10"/>
  <c r="J61" i="6"/>
  <c r="L61" i="6" s="1"/>
  <c r="N61" i="6" s="1"/>
  <c r="K61" i="6"/>
  <c r="O57" i="10"/>
  <c r="O56" i="10"/>
  <c r="G57" i="6"/>
  <c r="C55" i="10" s="1"/>
  <c r="N55" i="10" s="1"/>
  <c r="G58" i="6"/>
  <c r="C56" i="10" s="1"/>
  <c r="O55" i="10"/>
  <c r="G59" i="6"/>
  <c r="C57" i="10" s="1"/>
  <c r="N57" i="10" s="1"/>
  <c r="F54" i="19"/>
  <c r="I54" i="19" s="1"/>
  <c r="K54" i="19" s="1"/>
  <c r="I55" i="19"/>
  <c r="F53" i="19"/>
  <c r="H52" i="10" s="1"/>
  <c r="F54" i="20"/>
  <c r="K54" i="10" s="1"/>
  <c r="D54" i="20"/>
  <c r="E54" i="20" s="1"/>
  <c r="H54" i="20"/>
  <c r="M54" i="10" s="1"/>
  <c r="F53" i="20"/>
  <c r="G53" i="20" s="1"/>
  <c r="L53" i="10" s="1"/>
  <c r="D53" i="20"/>
  <c r="E53" i="20" s="1"/>
  <c r="H52" i="20"/>
  <c r="G52" i="20" s="1"/>
  <c r="E52" i="20"/>
  <c r="F56" i="6"/>
  <c r="B54" i="10" s="1"/>
  <c r="F55" i="6"/>
  <c r="G55" i="6" s="1"/>
  <c r="C53" i="10" s="1"/>
  <c r="F54" i="6"/>
  <c r="G54" i="6" s="1"/>
  <c r="P53" i="10"/>
  <c r="K52" i="10"/>
  <c r="M53" i="10"/>
  <c r="I52" i="10"/>
  <c r="J52" i="10"/>
  <c r="I53" i="10"/>
  <c r="J53" i="10"/>
  <c r="H54" i="10"/>
  <c r="I54" i="10"/>
  <c r="J54" i="10"/>
  <c r="D52" i="10"/>
  <c r="D53" i="10"/>
  <c r="D54" i="10"/>
  <c r="D51" i="10"/>
  <c r="Q51" i="10"/>
  <c r="Q50" i="10"/>
  <c r="Q49" i="10"/>
  <c r="G51" i="20"/>
  <c r="L51" i="10" s="1"/>
  <c r="E51" i="20"/>
  <c r="F50" i="20"/>
  <c r="G50" i="20" s="1"/>
  <c r="E50" i="20"/>
  <c r="H49" i="20"/>
  <c r="M49" i="10" s="1"/>
  <c r="F49" i="20"/>
  <c r="K49" i="10" s="1"/>
  <c r="E49" i="20"/>
  <c r="D49" i="10"/>
  <c r="I49" i="10"/>
  <c r="J49" i="10"/>
  <c r="D50" i="10"/>
  <c r="I50" i="10"/>
  <c r="J50" i="10"/>
  <c r="M50" i="10"/>
  <c r="J51" i="10"/>
  <c r="K51" i="10"/>
  <c r="M51" i="10"/>
  <c r="G52" i="19"/>
  <c r="I51" i="10" s="1"/>
  <c r="F52" i="19"/>
  <c r="H51" i="10" s="1"/>
  <c r="F51" i="19"/>
  <c r="H50" i="10" s="1"/>
  <c r="F50" i="19"/>
  <c r="I50" i="19" s="1"/>
  <c r="K50" i="19" s="1"/>
  <c r="F53" i="6"/>
  <c r="G53" i="6" s="1"/>
  <c r="C51" i="10" s="1"/>
  <c r="F52" i="6"/>
  <c r="B50" i="10" s="1"/>
  <c r="F51" i="6"/>
  <c r="Q47" i="10"/>
  <c r="Q48" i="10"/>
  <c r="D46" i="10"/>
  <c r="J46" i="10"/>
  <c r="M46" i="10"/>
  <c r="D47" i="10"/>
  <c r="J47" i="10"/>
  <c r="K47" i="10"/>
  <c r="M47" i="10"/>
  <c r="D48" i="10"/>
  <c r="I48" i="10"/>
  <c r="J48" i="10"/>
  <c r="K48" i="10"/>
  <c r="M48" i="10"/>
  <c r="G48" i="20"/>
  <c r="I48" i="20" s="1"/>
  <c r="L48" i="20" s="1"/>
  <c r="N48" i="20" s="1"/>
  <c r="E48" i="20"/>
  <c r="G47" i="20"/>
  <c r="L47" i="10" s="1"/>
  <c r="D47" i="20"/>
  <c r="E47" i="20" s="1"/>
  <c r="F46" i="20"/>
  <c r="G46" i="20" s="1"/>
  <c r="I46" i="20" s="1"/>
  <c r="L46" i="20" s="1"/>
  <c r="N46" i="20" s="1"/>
  <c r="E46" i="20"/>
  <c r="F49" i="19"/>
  <c r="I49" i="19" s="1"/>
  <c r="K49" i="19" s="1"/>
  <c r="G48" i="19"/>
  <c r="I47" i="10" s="1"/>
  <c r="F48" i="19"/>
  <c r="F47" i="19"/>
  <c r="H46" i="10" s="1"/>
  <c r="F50" i="6"/>
  <c r="B48" i="10" s="1"/>
  <c r="F49" i="6"/>
  <c r="G49" i="6" s="1"/>
  <c r="F48" i="6"/>
  <c r="G48" i="6" s="1"/>
  <c r="E48" i="6"/>
  <c r="G46" i="19"/>
  <c r="I45" i="10" s="1"/>
  <c r="F46" i="19"/>
  <c r="H45" i="10" s="1"/>
  <c r="Q44" i="10"/>
  <c r="Q45" i="10"/>
  <c r="J45" i="10"/>
  <c r="D45" i="10"/>
  <c r="H45" i="20"/>
  <c r="M45" i="10" s="1"/>
  <c r="F45" i="20"/>
  <c r="D45" i="20"/>
  <c r="E45" i="20" s="1"/>
  <c r="E47" i="6"/>
  <c r="F47" i="6"/>
  <c r="E176" i="21"/>
  <c r="J44" i="10"/>
  <c r="D44" i="10"/>
  <c r="H44" i="20"/>
  <c r="M44" i="10" s="1"/>
  <c r="F44" i="20"/>
  <c r="D44" i="20"/>
  <c r="E44" i="20" s="1"/>
  <c r="E45" i="19"/>
  <c r="F45" i="19"/>
  <c r="G45" i="19" s="1"/>
  <c r="I44" i="10" s="1"/>
  <c r="E46" i="6"/>
  <c r="F46" i="6"/>
  <c r="G46" i="6" s="1"/>
  <c r="C44" i="10" s="1"/>
  <c r="D43" i="10"/>
  <c r="J43" i="10"/>
  <c r="H43" i="20"/>
  <c r="F43" i="20"/>
  <c r="K43" i="10" s="1"/>
  <c r="D43" i="20"/>
  <c r="E43" i="20" s="1"/>
  <c r="F44" i="19"/>
  <c r="G44" i="19" s="1"/>
  <c r="I43" i="10" s="1"/>
  <c r="E44" i="19"/>
  <c r="Q43" i="10"/>
  <c r="E45" i="6"/>
  <c r="F45" i="6"/>
  <c r="Q42" i="10"/>
  <c r="K42" i="10"/>
  <c r="M42" i="10"/>
  <c r="J42" i="10"/>
  <c r="D42" i="10"/>
  <c r="G42" i="20"/>
  <c r="I42" i="20" s="1"/>
  <c r="K42" i="20" s="1"/>
  <c r="E42" i="20"/>
  <c r="D43" i="19"/>
  <c r="E43" i="19" s="1"/>
  <c r="E44" i="6"/>
  <c r="F44" i="6"/>
  <c r="G44" i="6" s="1"/>
  <c r="D38" i="10"/>
  <c r="D33" i="10"/>
  <c r="D41" i="10"/>
  <c r="E43" i="6"/>
  <c r="F43" i="6"/>
  <c r="B41" i="10" s="1"/>
  <c r="E42" i="6"/>
  <c r="F42" i="6"/>
  <c r="G42" i="6" s="1"/>
  <c r="C40" i="10" s="1"/>
  <c r="E41" i="6"/>
  <c r="F41" i="6"/>
  <c r="B39" i="10" s="1"/>
  <c r="E40" i="6"/>
  <c r="E39" i="6"/>
  <c r="F40" i="6"/>
  <c r="F39" i="6"/>
  <c r="B33" i="10" s="1"/>
  <c r="H41" i="20"/>
  <c r="M41" i="10" s="1"/>
  <c r="F41" i="20"/>
  <c r="K41" i="10" s="1"/>
  <c r="D41" i="20"/>
  <c r="E41" i="20" s="1"/>
  <c r="E42" i="19"/>
  <c r="F42" i="19"/>
  <c r="H41" i="10" s="1"/>
  <c r="Q41" i="10"/>
  <c r="H40" i="20"/>
  <c r="M40" i="10" s="1"/>
  <c r="F40" i="20"/>
  <c r="D40" i="20"/>
  <c r="E40" i="20" s="1"/>
  <c r="J40" i="10"/>
  <c r="J41" i="10"/>
  <c r="D39" i="10"/>
  <c r="D40" i="10"/>
  <c r="G41" i="19"/>
  <c r="I40" i="10" s="1"/>
  <c r="F41" i="19"/>
  <c r="Q37" i="10"/>
  <c r="Q39" i="10"/>
  <c r="Q38" i="10"/>
  <c r="E38" i="6"/>
  <c r="H37" i="6"/>
  <c r="D37" i="10" s="1"/>
  <c r="E37" i="6"/>
  <c r="F38" i="6"/>
  <c r="F37" i="6"/>
  <c r="B37" i="10" s="1"/>
  <c r="E40" i="19"/>
  <c r="G39" i="20"/>
  <c r="L39" i="10" s="1"/>
  <c r="E39" i="20"/>
  <c r="E39" i="19"/>
  <c r="H38" i="20"/>
  <c r="M38" i="10" s="1"/>
  <c r="F38" i="20"/>
  <c r="K38" i="10" s="1"/>
  <c r="D38" i="20"/>
  <c r="E38" i="20" s="1"/>
  <c r="F37" i="20"/>
  <c r="K37" i="10" s="1"/>
  <c r="H37" i="20"/>
  <c r="M37" i="10" s="1"/>
  <c r="D37" i="20"/>
  <c r="E37" i="20" s="1"/>
  <c r="F38" i="19"/>
  <c r="H37" i="10" s="1"/>
  <c r="F39" i="19"/>
  <c r="H38" i="10" s="1"/>
  <c r="F40" i="19"/>
  <c r="G40" i="19" s="1"/>
  <c r="I39" i="10" s="1"/>
  <c r="E38" i="19"/>
  <c r="K39" i="10"/>
  <c r="M39" i="10"/>
  <c r="J37" i="10"/>
  <c r="J38" i="10"/>
  <c r="J39" i="10"/>
  <c r="D36" i="10"/>
  <c r="J36" i="10"/>
  <c r="Q36" i="10"/>
  <c r="F37" i="19"/>
  <c r="H36" i="10" s="1"/>
  <c r="E37" i="19"/>
  <c r="H36" i="20"/>
  <c r="F36" i="20"/>
  <c r="K36" i="10" s="1"/>
  <c r="D36" i="20"/>
  <c r="E36" i="20" s="1"/>
  <c r="F36" i="6"/>
  <c r="G36" i="6" s="1"/>
  <c r="C36" i="10" s="1"/>
  <c r="E36" i="6"/>
  <c r="F35" i="20"/>
  <c r="K35" i="10" s="1"/>
  <c r="D35" i="20"/>
  <c r="E35" i="20" s="1"/>
  <c r="Q32" i="10"/>
  <c r="Q35" i="10"/>
  <c r="Q34" i="10"/>
  <c r="Q33" i="10"/>
  <c r="M33" i="10"/>
  <c r="M34" i="10"/>
  <c r="M35" i="10"/>
  <c r="J34" i="10"/>
  <c r="J35" i="10"/>
  <c r="J33" i="10"/>
  <c r="B34" i="10"/>
  <c r="D34" i="10"/>
  <c r="D35" i="10"/>
  <c r="F35" i="6"/>
  <c r="B35" i="10" s="1"/>
  <c r="E35" i="6"/>
  <c r="F36" i="19"/>
  <c r="G36" i="19" s="1"/>
  <c r="I35" i="10" s="1"/>
  <c r="E36" i="19"/>
  <c r="F34" i="20"/>
  <c r="G34" i="20" s="1"/>
  <c r="L34" i="10" s="1"/>
  <c r="D34" i="20"/>
  <c r="E34" i="20" s="1"/>
  <c r="F35" i="19"/>
  <c r="G35" i="19" s="1"/>
  <c r="I34" i="10" s="1"/>
  <c r="E35" i="19"/>
  <c r="G34" i="6"/>
  <c r="C34" i="10" s="1"/>
  <c r="E34" i="6"/>
  <c r="Q31" i="10"/>
  <c r="Q30" i="10"/>
  <c r="Q29" i="10"/>
  <c r="G33" i="6"/>
  <c r="E33" i="6"/>
  <c r="F34" i="19"/>
  <c r="H33" i="10" s="1"/>
  <c r="E34" i="19"/>
  <c r="F33" i="20"/>
  <c r="G33" i="20" s="1"/>
  <c r="L33" i="10" s="1"/>
  <c r="D33" i="20"/>
  <c r="E33" i="20" s="1"/>
  <c r="Q10" i="10"/>
  <c r="F32" i="20"/>
  <c r="K32" i="10" s="1"/>
  <c r="D32" i="20"/>
  <c r="E32" i="20" s="1"/>
  <c r="J32" i="10"/>
  <c r="M32" i="10"/>
  <c r="D32" i="10"/>
  <c r="M31" i="10"/>
  <c r="J31" i="10"/>
  <c r="D31" i="10"/>
  <c r="B31" i="10"/>
  <c r="E32" i="6"/>
  <c r="F32" i="6"/>
  <c r="B32" i="10" s="1"/>
  <c r="L62" i="20" l="1"/>
  <c r="N62" i="20" s="1"/>
  <c r="L59" i="20"/>
  <c r="N59" i="20" s="1"/>
  <c r="L63" i="6"/>
  <c r="N63" i="6" s="1"/>
  <c r="L62" i="6"/>
  <c r="N62" i="6" s="1"/>
  <c r="B38" i="10"/>
  <c r="I51" i="19"/>
  <c r="K51" i="19" s="1"/>
  <c r="L60" i="6"/>
  <c r="N60" i="6" s="1"/>
  <c r="K50" i="10"/>
  <c r="G40" i="20"/>
  <c r="L40" i="10" s="1"/>
  <c r="G54" i="20"/>
  <c r="L54" i="10" s="1"/>
  <c r="M52" i="10"/>
  <c r="O52" i="10" s="1"/>
  <c r="I48" i="19"/>
  <c r="J48" i="19" s="1"/>
  <c r="H48" i="10"/>
  <c r="H53" i="10"/>
  <c r="I57" i="6"/>
  <c r="B53" i="10"/>
  <c r="B51" i="10"/>
  <c r="G56" i="6"/>
  <c r="C54" i="10" s="1"/>
  <c r="I59" i="6"/>
  <c r="B52" i="10"/>
  <c r="I58" i="6"/>
  <c r="S57" i="10"/>
  <c r="R57" i="10"/>
  <c r="S55" i="10"/>
  <c r="R55" i="10"/>
  <c r="L52" i="10"/>
  <c r="I52" i="20"/>
  <c r="L52" i="20" s="1"/>
  <c r="N52" i="20" s="1"/>
  <c r="I53" i="20"/>
  <c r="L53" i="20" s="1"/>
  <c r="N53" i="20" s="1"/>
  <c r="K53" i="10"/>
  <c r="I55" i="6"/>
  <c r="K55" i="6" s="1"/>
  <c r="C52" i="10"/>
  <c r="I54" i="6"/>
  <c r="K54" i="6" s="1"/>
  <c r="O53" i="10"/>
  <c r="O54" i="10"/>
  <c r="I53" i="19"/>
  <c r="J53" i="19" s="1"/>
  <c r="J54" i="19"/>
  <c r="L54" i="19" s="1"/>
  <c r="N54" i="19" s="1"/>
  <c r="J55" i="19"/>
  <c r="K55" i="19"/>
  <c r="I50" i="20"/>
  <c r="L50" i="20" s="1"/>
  <c r="N50" i="20" s="1"/>
  <c r="L50" i="10"/>
  <c r="G49" i="20"/>
  <c r="H49" i="10"/>
  <c r="I52" i="19"/>
  <c r="J52" i="19" s="1"/>
  <c r="G51" i="6"/>
  <c r="C49" i="10" s="1"/>
  <c r="B49" i="10"/>
  <c r="G52" i="6"/>
  <c r="C50" i="10" s="1"/>
  <c r="I53" i="6"/>
  <c r="K53" i="6" s="1"/>
  <c r="O51" i="10"/>
  <c r="O49" i="10"/>
  <c r="I51" i="20"/>
  <c r="L51" i="20" s="1"/>
  <c r="N51" i="20" s="1"/>
  <c r="O50" i="10"/>
  <c r="J50" i="19"/>
  <c r="L50" i="19" s="1"/>
  <c r="N50" i="19" s="1"/>
  <c r="I47" i="20"/>
  <c r="L47" i="20" s="1"/>
  <c r="N47" i="20" s="1"/>
  <c r="L48" i="10"/>
  <c r="L42" i="10"/>
  <c r="K46" i="10"/>
  <c r="L46" i="10"/>
  <c r="I41" i="19"/>
  <c r="K41" i="19" s="1"/>
  <c r="H47" i="10"/>
  <c r="O47" i="10"/>
  <c r="G47" i="19"/>
  <c r="I46" i="10" s="1"/>
  <c r="B47" i="10"/>
  <c r="C47" i="10"/>
  <c r="I49" i="6"/>
  <c r="J49" i="6" s="1"/>
  <c r="O48" i="10"/>
  <c r="G50" i="6"/>
  <c r="C48" i="10" s="1"/>
  <c r="I48" i="6"/>
  <c r="K48" i="6" s="1"/>
  <c r="C46" i="10"/>
  <c r="O46" i="10"/>
  <c r="B46" i="10"/>
  <c r="J49" i="19"/>
  <c r="L49" i="19" s="1"/>
  <c r="N49" i="19" s="1"/>
  <c r="G45" i="20"/>
  <c r="L45" i="10" s="1"/>
  <c r="G43" i="20"/>
  <c r="I43" i="20" s="1"/>
  <c r="L43" i="20" s="1"/>
  <c r="N43" i="20" s="1"/>
  <c r="M43" i="10"/>
  <c r="O43" i="10" s="1"/>
  <c r="K45" i="10"/>
  <c r="I46" i="19"/>
  <c r="H40" i="10"/>
  <c r="B45" i="10"/>
  <c r="O45" i="10"/>
  <c r="G47" i="6"/>
  <c r="C45" i="10" s="1"/>
  <c r="K44" i="10"/>
  <c r="G44" i="20"/>
  <c r="L44" i="10" s="1"/>
  <c r="H43" i="10"/>
  <c r="F43" i="19"/>
  <c r="H42" i="10" s="1"/>
  <c r="O44" i="10"/>
  <c r="I45" i="19"/>
  <c r="K45" i="19" s="1"/>
  <c r="H44" i="10"/>
  <c r="I46" i="6"/>
  <c r="B44" i="10"/>
  <c r="O41" i="10"/>
  <c r="G41" i="20"/>
  <c r="L41" i="10" s="1"/>
  <c r="B40" i="10"/>
  <c r="G43" i="6"/>
  <c r="C41" i="10" s="1"/>
  <c r="G45" i="6"/>
  <c r="C43" i="10" s="1"/>
  <c r="B43" i="10"/>
  <c r="I44" i="19"/>
  <c r="J44" i="19" s="1"/>
  <c r="O42" i="10"/>
  <c r="G41" i="6"/>
  <c r="C39" i="10" s="1"/>
  <c r="G40" i="6"/>
  <c r="I40" i="6" s="1"/>
  <c r="G39" i="6"/>
  <c r="C33" i="10" s="1"/>
  <c r="I44" i="6"/>
  <c r="K44" i="6" s="1"/>
  <c r="C42" i="10"/>
  <c r="B42" i="10"/>
  <c r="J42" i="20"/>
  <c r="L42" i="20" s="1"/>
  <c r="N42" i="20" s="1"/>
  <c r="G42" i="19"/>
  <c r="I42" i="6"/>
  <c r="J42" i="6" s="1"/>
  <c r="G37" i="6"/>
  <c r="C37" i="10" s="1"/>
  <c r="O40" i="10"/>
  <c r="G38" i="6"/>
  <c r="K40" i="10"/>
  <c r="G37" i="20"/>
  <c r="L37" i="10" s="1"/>
  <c r="G38" i="20"/>
  <c r="L38" i="10" s="1"/>
  <c r="G34" i="19"/>
  <c r="I33" i="10" s="1"/>
  <c r="H39" i="10"/>
  <c r="G38" i="19"/>
  <c r="G39" i="19"/>
  <c r="I38" i="10" s="1"/>
  <c r="I40" i="19"/>
  <c r="J40" i="19" s="1"/>
  <c r="I39" i="20"/>
  <c r="K39" i="20" s="1"/>
  <c r="O38" i="10"/>
  <c r="O37" i="10"/>
  <c r="O39" i="10"/>
  <c r="K34" i="10"/>
  <c r="K33" i="10"/>
  <c r="G36" i="20"/>
  <c r="L36" i="10" s="1"/>
  <c r="M36" i="10"/>
  <c r="O36" i="10" s="1"/>
  <c r="G32" i="20"/>
  <c r="L32" i="10" s="1"/>
  <c r="G35" i="20"/>
  <c r="L35" i="10" s="1"/>
  <c r="H34" i="10"/>
  <c r="O34" i="10"/>
  <c r="H35" i="10"/>
  <c r="G37" i="19"/>
  <c r="I36" i="10" s="1"/>
  <c r="I36" i="6"/>
  <c r="J36" i="6" s="1"/>
  <c r="B36" i="10"/>
  <c r="G35" i="6"/>
  <c r="C35" i="10" s="1"/>
  <c r="G32" i="6"/>
  <c r="I32" i="6" s="1"/>
  <c r="K32" i="6" s="1"/>
  <c r="L32" i="6" s="1"/>
  <c r="N32" i="6" s="1"/>
  <c r="I34" i="6"/>
  <c r="J34" i="6" s="1"/>
  <c r="I33" i="6"/>
  <c r="K33" i="6" s="1"/>
  <c r="L33" i="6" s="1"/>
  <c r="N33" i="6" s="1"/>
  <c r="O35" i="10"/>
  <c r="O33" i="10"/>
  <c r="O32" i="10"/>
  <c r="O31" i="10"/>
  <c r="F32" i="19"/>
  <c r="H32" i="10" s="1"/>
  <c r="D32" i="19"/>
  <c r="E32" i="19" s="1"/>
  <c r="F31" i="19"/>
  <c r="D31" i="19"/>
  <c r="E31" i="19" s="1"/>
  <c r="F31" i="20"/>
  <c r="K31" i="10" s="1"/>
  <c r="D31" i="20"/>
  <c r="E31" i="20" s="1"/>
  <c r="E31" i="6"/>
  <c r="G31" i="6"/>
  <c r="C31" i="10" s="1"/>
  <c r="H30" i="20"/>
  <c r="M30" i="10" s="1"/>
  <c r="F30" i="20"/>
  <c r="K30" i="10" s="1"/>
  <c r="D30" i="20"/>
  <c r="J30" i="10"/>
  <c r="H30" i="6"/>
  <c r="D30" i="10" s="1"/>
  <c r="E30" i="6"/>
  <c r="F30" i="6"/>
  <c r="G30" i="6" s="1"/>
  <c r="C30" i="10" s="1"/>
  <c r="F30" i="19"/>
  <c r="H30" i="10" s="1"/>
  <c r="D30" i="19"/>
  <c r="E30" i="19" s="1"/>
  <c r="I25" i="7"/>
  <c r="I18" i="7"/>
  <c r="H11" i="7"/>
  <c r="E11" i="7"/>
  <c r="I6" i="7"/>
  <c r="I7" i="7"/>
  <c r="I8" i="7"/>
  <c r="I9" i="7"/>
  <c r="I10" i="7"/>
  <c r="I12" i="7"/>
  <c r="I13" i="7"/>
  <c r="I14" i="7"/>
  <c r="I15" i="7"/>
  <c r="I16" i="7"/>
  <c r="I17" i="7"/>
  <c r="I19" i="7"/>
  <c r="I20" i="7"/>
  <c r="I21" i="7"/>
  <c r="I22" i="7"/>
  <c r="I23" i="7"/>
  <c r="I24" i="7"/>
  <c r="F11" i="7"/>
  <c r="G11" i="7"/>
  <c r="G50" i="7" s="1"/>
  <c r="F7" i="7"/>
  <c r="G7" i="7"/>
  <c r="H7" i="7"/>
  <c r="F8" i="7"/>
  <c r="G8" i="7"/>
  <c r="H8" i="7"/>
  <c r="F9" i="7"/>
  <c r="G9" i="7"/>
  <c r="H9" i="7"/>
  <c r="F10" i="7"/>
  <c r="G10" i="7"/>
  <c r="H10" i="7"/>
  <c r="E10" i="7"/>
  <c r="E9" i="7"/>
  <c r="E8" i="7"/>
  <c r="E7" i="7"/>
  <c r="F6" i="7"/>
  <c r="G6" i="7"/>
  <c r="H6" i="7"/>
  <c r="E6" i="7"/>
  <c r="H91" i="10"/>
  <c r="J29" i="10"/>
  <c r="K29" i="10"/>
  <c r="B29" i="10"/>
  <c r="D29" i="10"/>
  <c r="G29" i="6"/>
  <c r="C29" i="10" s="1"/>
  <c r="E29" i="6"/>
  <c r="F29" i="19"/>
  <c r="G29" i="19" s="1"/>
  <c r="I29" i="10" s="1"/>
  <c r="D29" i="19"/>
  <c r="E29" i="19" s="1"/>
  <c r="H29" i="20"/>
  <c r="G29" i="20" s="1"/>
  <c r="L29" i="10" s="1"/>
  <c r="E29" i="20"/>
  <c r="D29" i="20"/>
  <c r="Q28" i="10"/>
  <c r="I54" i="20" l="1"/>
  <c r="L54" i="20" s="1"/>
  <c r="N54" i="20" s="1"/>
  <c r="J51" i="19"/>
  <c r="N53" i="10"/>
  <c r="S53" i="10" s="1"/>
  <c r="L51" i="19"/>
  <c r="N51" i="19" s="1"/>
  <c r="K52" i="19"/>
  <c r="I52" i="6"/>
  <c r="N54" i="10"/>
  <c r="R54" i="10" s="1"/>
  <c r="K48" i="19"/>
  <c r="L48" i="19" s="1"/>
  <c r="N48" i="19" s="1"/>
  <c r="I56" i="6"/>
  <c r="J56" i="6" s="1"/>
  <c r="J57" i="6"/>
  <c r="K57" i="6"/>
  <c r="J59" i="6"/>
  <c r="K59" i="6"/>
  <c r="N52" i="10"/>
  <c r="S52" i="10" s="1"/>
  <c r="J55" i="6"/>
  <c r="L55" i="6" s="1"/>
  <c r="N55" i="6" s="1"/>
  <c r="K58" i="6"/>
  <c r="J58" i="6"/>
  <c r="L58" i="6"/>
  <c r="N58" i="6" s="1"/>
  <c r="R53" i="10"/>
  <c r="K53" i="19"/>
  <c r="L53" i="19" s="1"/>
  <c r="N53" i="19" s="1"/>
  <c r="L52" i="19"/>
  <c r="N52" i="19" s="1"/>
  <c r="J54" i="6"/>
  <c r="L54" i="6" s="1"/>
  <c r="N54" i="6" s="1"/>
  <c r="L55" i="19"/>
  <c r="N55" i="19" s="1"/>
  <c r="N51" i="10"/>
  <c r="R51" i="10" s="1"/>
  <c r="N50" i="10"/>
  <c r="S50" i="10" s="1"/>
  <c r="L49" i="10"/>
  <c r="N49" i="10" s="1"/>
  <c r="I49" i="20"/>
  <c r="L49" i="20" s="1"/>
  <c r="N49" i="20" s="1"/>
  <c r="G43" i="19"/>
  <c r="I42" i="10" s="1"/>
  <c r="N42" i="10" s="1"/>
  <c r="J53" i="6"/>
  <c r="L53" i="6" s="1"/>
  <c r="N53" i="6" s="1"/>
  <c r="I51" i="6"/>
  <c r="J52" i="6"/>
  <c r="K52" i="6"/>
  <c r="N47" i="10"/>
  <c r="R47" i="10" s="1"/>
  <c r="N48" i="10"/>
  <c r="S48" i="10" s="1"/>
  <c r="N45" i="10"/>
  <c r="I41" i="20"/>
  <c r="K41" i="20" s="1"/>
  <c r="L43" i="10"/>
  <c r="N43" i="10" s="1"/>
  <c r="S43" i="10" s="1"/>
  <c r="I45" i="20"/>
  <c r="L45" i="20" s="1"/>
  <c r="N45" i="20" s="1"/>
  <c r="J41" i="19"/>
  <c r="L41" i="19" s="1"/>
  <c r="N41" i="19" s="1"/>
  <c r="I47" i="19"/>
  <c r="N46" i="10"/>
  <c r="S46" i="10" s="1"/>
  <c r="J48" i="6"/>
  <c r="L48" i="6" s="1"/>
  <c r="N48" i="6" s="1"/>
  <c r="K49" i="6"/>
  <c r="L49" i="6" s="1"/>
  <c r="N49" i="6" s="1"/>
  <c r="I50" i="6"/>
  <c r="K46" i="19"/>
  <c r="J46" i="19"/>
  <c r="I43" i="6"/>
  <c r="J43" i="6" s="1"/>
  <c r="I47" i="6"/>
  <c r="I44" i="20"/>
  <c r="L44" i="20" s="1"/>
  <c r="N44" i="20" s="1"/>
  <c r="N44" i="10"/>
  <c r="S44" i="10" s="1"/>
  <c r="J45" i="19"/>
  <c r="L45" i="19" s="1"/>
  <c r="N45" i="19" s="1"/>
  <c r="K46" i="6"/>
  <c r="J46" i="6"/>
  <c r="C38" i="10"/>
  <c r="N38" i="10" s="1"/>
  <c r="R38" i="10" s="1"/>
  <c r="I41" i="6"/>
  <c r="J41" i="6" s="1"/>
  <c r="I45" i="6"/>
  <c r="K44" i="19"/>
  <c r="L44" i="19" s="1"/>
  <c r="N44" i="19" s="1"/>
  <c r="K40" i="6"/>
  <c r="J40" i="6"/>
  <c r="I39" i="6"/>
  <c r="N39" i="10"/>
  <c r="R39" i="10" s="1"/>
  <c r="J44" i="6"/>
  <c r="L44" i="6" s="1"/>
  <c r="N44" i="6" s="1"/>
  <c r="N40" i="10"/>
  <c r="I41" i="10"/>
  <c r="N41" i="10" s="1"/>
  <c r="S41" i="10" s="1"/>
  <c r="I42" i="19"/>
  <c r="K42" i="6"/>
  <c r="L42" i="6" s="1"/>
  <c r="N42" i="6" s="1"/>
  <c r="I37" i="6"/>
  <c r="K37" i="6" s="1"/>
  <c r="I38" i="6"/>
  <c r="K38" i="6" s="1"/>
  <c r="I38" i="20"/>
  <c r="J38" i="20" s="1"/>
  <c r="I37" i="20"/>
  <c r="N34" i="10"/>
  <c r="S34" i="10" s="1"/>
  <c r="N33" i="10"/>
  <c r="I39" i="19"/>
  <c r="J39" i="19" s="1"/>
  <c r="I37" i="10"/>
  <c r="N37" i="10" s="1"/>
  <c r="I38" i="19"/>
  <c r="N36" i="10"/>
  <c r="S36" i="10" s="1"/>
  <c r="K40" i="19"/>
  <c r="L40" i="19" s="1"/>
  <c r="N40" i="19" s="1"/>
  <c r="J39" i="20"/>
  <c r="L39" i="20" s="1"/>
  <c r="N39" i="20" s="1"/>
  <c r="M29" i="10"/>
  <c r="O29" i="10" s="1"/>
  <c r="G31" i="20"/>
  <c r="L31" i="10" s="1"/>
  <c r="G30" i="20"/>
  <c r="L30" i="10" s="1"/>
  <c r="N35" i="10"/>
  <c r="R35" i="10" s="1"/>
  <c r="G31" i="19"/>
  <c r="I31" i="10" s="1"/>
  <c r="H31" i="10"/>
  <c r="G32" i="19"/>
  <c r="H29" i="10"/>
  <c r="N29" i="10" s="1"/>
  <c r="C32" i="10"/>
  <c r="K36" i="6"/>
  <c r="L36" i="6" s="1"/>
  <c r="N36" i="6" s="1"/>
  <c r="I35" i="6"/>
  <c r="L34" i="6"/>
  <c r="N34" i="6" s="1"/>
  <c r="G30" i="19"/>
  <c r="I30" i="10" s="1"/>
  <c r="B30" i="10"/>
  <c r="O30" i="10"/>
  <c r="H50" i="7"/>
  <c r="I11" i="7"/>
  <c r="E50" i="7"/>
  <c r="F28" i="20"/>
  <c r="G28" i="20" s="1"/>
  <c r="D28" i="20"/>
  <c r="E28" i="20" s="1"/>
  <c r="F28" i="19"/>
  <c r="G28" i="19" s="1"/>
  <c r="E28" i="19"/>
  <c r="G28" i="6"/>
  <c r="E28" i="6"/>
  <c r="Q27" i="10"/>
  <c r="L57" i="6" l="1"/>
  <c r="N57" i="6" s="1"/>
  <c r="S54" i="10"/>
  <c r="R29" i="10"/>
  <c r="R52" i="10"/>
  <c r="L59" i="6"/>
  <c r="N59" i="6" s="1"/>
  <c r="R36" i="10"/>
  <c r="R48" i="10"/>
  <c r="K56" i="6"/>
  <c r="L56" i="6" s="1"/>
  <c r="N56" i="6" s="1"/>
  <c r="R46" i="10"/>
  <c r="R43" i="10"/>
  <c r="R41" i="10"/>
  <c r="R34" i="10"/>
  <c r="R50" i="10"/>
  <c r="S37" i="10"/>
  <c r="R37" i="10"/>
  <c r="R44" i="10"/>
  <c r="S51" i="10"/>
  <c r="I43" i="19"/>
  <c r="J43" i="19" s="1"/>
  <c r="J51" i="6"/>
  <c r="K51" i="6"/>
  <c r="K43" i="6"/>
  <c r="L43" i="6" s="1"/>
  <c r="N43" i="6" s="1"/>
  <c r="L52" i="6"/>
  <c r="N52" i="6" s="1"/>
  <c r="S47" i="10"/>
  <c r="J41" i="20"/>
  <c r="L41" i="20" s="1"/>
  <c r="N41" i="20" s="1"/>
  <c r="L46" i="19"/>
  <c r="N46" i="19" s="1"/>
  <c r="J47" i="19"/>
  <c r="K47" i="19"/>
  <c r="J50" i="6"/>
  <c r="K50" i="6"/>
  <c r="L40" i="6"/>
  <c r="N40" i="6" s="1"/>
  <c r="J47" i="6"/>
  <c r="K47" i="6"/>
  <c r="K41" i="6"/>
  <c r="L41" i="6" s="1"/>
  <c r="N41" i="6" s="1"/>
  <c r="L46" i="6"/>
  <c r="N46" i="6" s="1"/>
  <c r="K38" i="20"/>
  <c r="L38" i="20" s="1"/>
  <c r="N38" i="20" s="1"/>
  <c r="J38" i="6"/>
  <c r="L38" i="6" s="1"/>
  <c r="N38" i="6" s="1"/>
  <c r="K45" i="6"/>
  <c r="J45" i="6"/>
  <c r="J39" i="6"/>
  <c r="K39" i="6"/>
  <c r="K42" i="19"/>
  <c r="J42" i="19"/>
  <c r="S38" i="10"/>
  <c r="J37" i="6"/>
  <c r="L37" i="6" s="1"/>
  <c r="N37" i="6" s="1"/>
  <c r="K37" i="20"/>
  <c r="J37" i="20"/>
  <c r="K39" i="19"/>
  <c r="L39" i="19" s="1"/>
  <c r="N39" i="19" s="1"/>
  <c r="K38" i="19"/>
  <c r="J38" i="19"/>
  <c r="S35" i="10"/>
  <c r="N31" i="10"/>
  <c r="I32" i="10"/>
  <c r="N32" i="10" s="1"/>
  <c r="I32" i="19"/>
  <c r="J35" i="6"/>
  <c r="K35" i="6"/>
  <c r="N30" i="10"/>
  <c r="S30" i="10" s="1"/>
  <c r="S29" i="10"/>
  <c r="K28" i="10"/>
  <c r="L28" i="10"/>
  <c r="M28" i="10"/>
  <c r="J27" i="10"/>
  <c r="H28" i="10"/>
  <c r="I28" i="10"/>
  <c r="J28" i="10"/>
  <c r="E27" i="10"/>
  <c r="F27" i="10"/>
  <c r="G27" i="10"/>
  <c r="E28" i="10"/>
  <c r="F28" i="10"/>
  <c r="G28" i="10"/>
  <c r="D27" i="10"/>
  <c r="B28" i="10"/>
  <c r="C28" i="10"/>
  <c r="D28" i="10"/>
  <c r="F27" i="6"/>
  <c r="B27" i="10" s="1"/>
  <c r="D27" i="6"/>
  <c r="H27" i="20"/>
  <c r="M27" i="10" s="1"/>
  <c r="F27" i="20"/>
  <c r="E27" i="20"/>
  <c r="D27" i="20"/>
  <c r="L47" i="19" l="1"/>
  <c r="N47" i="19" s="1"/>
  <c r="K43" i="19"/>
  <c r="L43" i="19" s="1"/>
  <c r="N43" i="19" s="1"/>
  <c r="R30" i="10"/>
  <c r="S32" i="10"/>
  <c r="R32" i="10"/>
  <c r="L51" i="6"/>
  <c r="N51" i="6" s="1"/>
  <c r="L47" i="6"/>
  <c r="N47" i="6" s="1"/>
  <c r="L50" i="6"/>
  <c r="N50" i="6" s="1"/>
  <c r="L35" i="6"/>
  <c r="N35" i="6" s="1"/>
  <c r="L45" i="6"/>
  <c r="N45" i="6" s="1"/>
  <c r="L39" i="6"/>
  <c r="N39" i="6" s="1"/>
  <c r="L42" i="19"/>
  <c r="N42" i="19" s="1"/>
  <c r="G27" i="20"/>
  <c r="L27" i="10" s="1"/>
  <c r="L37" i="20"/>
  <c r="N37" i="20" s="1"/>
  <c r="L38" i="19"/>
  <c r="N38" i="19" s="1"/>
  <c r="K32" i="19"/>
  <c r="J32" i="19"/>
  <c r="O28" i="10"/>
  <c r="K27" i="10"/>
  <c r="O27" i="10"/>
  <c r="G27" i="6"/>
  <c r="C27" i="10" s="1"/>
  <c r="N28" i="10"/>
  <c r="F27" i="19"/>
  <c r="H27" i="10" s="1"/>
  <c r="D27" i="19"/>
  <c r="E27" i="19" s="1"/>
  <c r="Q25" i="10"/>
  <c r="F26" i="20"/>
  <c r="G26" i="20" s="1"/>
  <c r="E26" i="20"/>
  <c r="D26" i="20"/>
  <c r="R28" i="10" l="1"/>
  <c r="L32" i="19"/>
  <c r="N32" i="19" s="1"/>
  <c r="G27" i="19"/>
  <c r="I27" i="10" s="1"/>
  <c r="N27" i="10" s="1"/>
  <c r="R27" i="10" s="1"/>
  <c r="Q26" i="10"/>
  <c r="Q24" i="10"/>
  <c r="B25" i="10" l="1"/>
  <c r="D25" i="10"/>
  <c r="E25" i="10"/>
  <c r="F25" i="10"/>
  <c r="G25" i="10"/>
  <c r="J25" i="10"/>
  <c r="M25" i="10"/>
  <c r="D26" i="10"/>
  <c r="E26" i="10"/>
  <c r="F26" i="10"/>
  <c r="G26" i="10"/>
  <c r="J26" i="10"/>
  <c r="K26" i="10"/>
  <c r="L26" i="10"/>
  <c r="M26" i="10"/>
  <c r="O25" i="10" l="1"/>
  <c r="O26" i="10"/>
  <c r="F26" i="19"/>
  <c r="H26" i="10" s="1"/>
  <c r="D26" i="19"/>
  <c r="E26" i="19" s="1"/>
  <c r="F25" i="19"/>
  <c r="H25" i="10" s="1"/>
  <c r="D25" i="19"/>
  <c r="E25" i="19" s="1"/>
  <c r="F25" i="20"/>
  <c r="K25" i="10" s="1"/>
  <c r="E25" i="20"/>
  <c r="D25" i="20"/>
  <c r="F26" i="6"/>
  <c r="B26" i="10" s="1"/>
  <c r="E26" i="6"/>
  <c r="D26" i="6"/>
  <c r="G25" i="6"/>
  <c r="C25" i="10" s="1"/>
  <c r="E25" i="6"/>
  <c r="H24" i="20"/>
  <c r="F24" i="20"/>
  <c r="E24" i="20"/>
  <c r="D24" i="20"/>
  <c r="H24" i="19"/>
  <c r="F24" i="19"/>
  <c r="G24" i="19" s="1"/>
  <c r="D24" i="19"/>
  <c r="E24" i="19" s="1"/>
  <c r="H23" i="19"/>
  <c r="E23" i="19"/>
  <c r="G24" i="20" l="1"/>
  <c r="L24" i="10" s="1"/>
  <c r="G25" i="20"/>
  <c r="L25" i="10" s="1"/>
  <c r="G26" i="19"/>
  <c r="I26" i="10" s="1"/>
  <c r="G25" i="19"/>
  <c r="I25" i="10" s="1"/>
  <c r="G26" i="6"/>
  <c r="C26" i="10" s="1"/>
  <c r="B24" i="10"/>
  <c r="D24" i="10"/>
  <c r="E24" i="10"/>
  <c r="F24" i="10"/>
  <c r="G24" i="10"/>
  <c r="H24" i="10"/>
  <c r="I24" i="10"/>
  <c r="J24" i="10"/>
  <c r="K24" i="10"/>
  <c r="M24" i="10"/>
  <c r="Q23" i="10"/>
  <c r="F23" i="19"/>
  <c r="G23" i="19" s="1"/>
  <c r="D23" i="19"/>
  <c r="F22" i="19"/>
  <c r="G22" i="19" s="1"/>
  <c r="D22" i="19"/>
  <c r="H23" i="20"/>
  <c r="F23" i="20"/>
  <c r="E23" i="20"/>
  <c r="D23" i="20"/>
  <c r="F22" i="20"/>
  <c r="G22" i="20" s="1"/>
  <c r="E22" i="20"/>
  <c r="D22" i="20"/>
  <c r="G24" i="6"/>
  <c r="C24" i="10" s="1"/>
  <c r="E24" i="6"/>
  <c r="G23" i="6"/>
  <c r="E23" i="6"/>
  <c r="F22" i="6"/>
  <c r="G22" i="6" s="1"/>
  <c r="E22" i="6"/>
  <c r="D22" i="6"/>
  <c r="S27" i="10"/>
  <c r="S28" i="10"/>
  <c r="G14" i="6"/>
  <c r="G23" i="20" l="1"/>
  <c r="E22" i="19"/>
  <c r="D69" i="19"/>
  <c r="N25" i="10"/>
  <c r="N26" i="10"/>
  <c r="R26" i="10" s="1"/>
  <c r="N24" i="10"/>
  <c r="O24" i="10"/>
  <c r="E70" i="21"/>
  <c r="E80" i="21"/>
  <c r="Q21" i="10"/>
  <c r="Q20" i="10"/>
  <c r="Q18" i="10"/>
  <c r="Q14" i="10"/>
  <c r="Q13" i="10"/>
  <c r="Q12" i="10"/>
  <c r="Q8" i="10"/>
  <c r="Q9" i="10"/>
  <c r="Q15" i="10"/>
  <c r="Q11" i="10"/>
  <c r="Q7" i="10"/>
  <c r="R24" i="10" l="1"/>
  <c r="S26" i="10"/>
  <c r="S24" i="10"/>
  <c r="E38" i="21"/>
  <c r="E179" i="21" s="1"/>
  <c r="E180" i="21" l="1"/>
  <c r="F91" i="10"/>
  <c r="C22" i="10"/>
  <c r="C23" i="10"/>
  <c r="G21" i="20" l="1"/>
  <c r="H21" i="20"/>
  <c r="F21" i="20"/>
  <c r="E21" i="20"/>
  <c r="D21" i="20"/>
  <c r="E21" i="19"/>
  <c r="F21" i="19"/>
  <c r="G21" i="19" s="1"/>
  <c r="F21" i="6"/>
  <c r="G21" i="6" s="1"/>
  <c r="C21" i="10" s="1"/>
  <c r="D21" i="6"/>
  <c r="E21" i="6"/>
  <c r="H20" i="20"/>
  <c r="G20" i="20"/>
  <c r="F20" i="20"/>
  <c r="E20" i="20"/>
  <c r="D20" i="20"/>
  <c r="E20" i="19"/>
  <c r="F20" i="19"/>
  <c r="G20" i="19" s="1"/>
  <c r="G20" i="6"/>
  <c r="C20" i="10" s="1"/>
  <c r="E20" i="6"/>
  <c r="F19" i="20"/>
  <c r="G19" i="20" s="1"/>
  <c r="E19" i="20"/>
  <c r="D19" i="20"/>
  <c r="E19" i="19"/>
  <c r="F19" i="19"/>
  <c r="G19" i="19" s="1"/>
  <c r="G19" i="6"/>
  <c r="C19" i="10" s="1"/>
  <c r="E19" i="6"/>
  <c r="H18" i="20"/>
  <c r="E18" i="19" l="1"/>
  <c r="F18" i="19"/>
  <c r="G18" i="19" s="1"/>
  <c r="G18" i="20"/>
  <c r="F18" i="20"/>
  <c r="E18" i="20"/>
  <c r="D18" i="20"/>
  <c r="F18" i="6" l="1"/>
  <c r="G18" i="6" s="1"/>
  <c r="C18" i="10" s="1"/>
  <c r="E18" i="6"/>
  <c r="D18" i="6"/>
  <c r="D70" i="6" s="1"/>
  <c r="G17" i="20" l="1"/>
  <c r="F17" i="20"/>
  <c r="E17" i="20"/>
  <c r="D17" i="20"/>
  <c r="E17" i="19"/>
  <c r="F17" i="19"/>
  <c r="G17" i="19" s="1"/>
  <c r="G17" i="6"/>
  <c r="C17" i="10" s="1"/>
  <c r="E17" i="6"/>
  <c r="G16" i="20"/>
  <c r="E16" i="20"/>
  <c r="F16" i="20"/>
  <c r="D16" i="20"/>
  <c r="E16" i="19"/>
  <c r="F16" i="19"/>
  <c r="G16" i="19" s="1"/>
  <c r="G16" i="6"/>
  <c r="C16" i="10" s="1"/>
  <c r="G15" i="20"/>
  <c r="F15" i="20"/>
  <c r="E15" i="20"/>
  <c r="D15" i="20"/>
  <c r="E15" i="19"/>
  <c r="F15" i="19"/>
  <c r="G15" i="19" s="1"/>
  <c r="G15" i="6"/>
  <c r="E15" i="6"/>
  <c r="F14" i="20" l="1"/>
  <c r="G14" i="20" s="1"/>
  <c r="E14" i="20"/>
  <c r="E14" i="19"/>
  <c r="F14" i="19"/>
  <c r="G14" i="19" s="1"/>
  <c r="E13" i="19"/>
  <c r="F13" i="19"/>
  <c r="G13" i="19" s="1"/>
  <c r="H13" i="20"/>
  <c r="F13" i="20"/>
  <c r="G13" i="20" s="1"/>
  <c r="G13" i="6"/>
  <c r="P70" i="6"/>
  <c r="H12" i="20"/>
  <c r="F12" i="20"/>
  <c r="G12" i="20" s="1"/>
  <c r="E12" i="20"/>
  <c r="E12" i="19"/>
  <c r="F12" i="19"/>
  <c r="G12" i="19" s="1"/>
  <c r="F81" i="10" l="1"/>
  <c r="O70" i="6"/>
  <c r="D5" i="10"/>
  <c r="D8" i="10"/>
  <c r="D11" i="10"/>
  <c r="D12" i="10"/>
  <c r="H11" i="20"/>
  <c r="F11" i="20"/>
  <c r="G11" i="20" s="1"/>
  <c r="E11" i="20"/>
  <c r="E11" i="19"/>
  <c r="F11" i="19"/>
  <c r="G11" i="19" s="1"/>
  <c r="F11" i="18"/>
  <c r="G11" i="18" s="1"/>
  <c r="E11" i="18"/>
  <c r="G11" i="6"/>
  <c r="E11" i="6"/>
  <c r="E10" i="19" l="1"/>
  <c r="F10" i="19"/>
  <c r="G10" i="19" s="1"/>
  <c r="H10" i="6" l="1"/>
  <c r="D10" i="10" s="1"/>
  <c r="G10" i="18"/>
  <c r="E10" i="18"/>
  <c r="F10" i="20"/>
  <c r="G10" i="20" s="1"/>
  <c r="E10" i="20"/>
  <c r="H9" i="6"/>
  <c r="D9" i="10" s="1"/>
  <c r="H7" i="6"/>
  <c r="D7" i="10" s="1"/>
  <c r="H6" i="6"/>
  <c r="D6" i="10" s="1"/>
  <c r="H6" i="19"/>
  <c r="N46" i="7" l="1"/>
  <c r="N47" i="7"/>
  <c r="N48" i="7"/>
  <c r="N49" i="7"/>
  <c r="C10" i="10" l="1"/>
  <c r="C11" i="10"/>
  <c r="C12" i="10"/>
  <c r="C13" i="10"/>
  <c r="C14" i="10"/>
  <c r="C15" i="10"/>
  <c r="E9" i="19" l="1"/>
  <c r="F9" i="19"/>
  <c r="G9" i="19" s="1"/>
  <c r="G9" i="20" l="1"/>
  <c r="E9" i="20"/>
  <c r="G9" i="18"/>
  <c r="E9" i="18"/>
  <c r="F9" i="6"/>
  <c r="G9" i="6" s="1"/>
  <c r="C9" i="10" s="1"/>
  <c r="E9" i="6"/>
  <c r="Q9" i="6"/>
  <c r="Q70" i="6" s="1"/>
  <c r="E8" i="19" l="1"/>
  <c r="F8" i="19"/>
  <c r="G8" i="19" s="1"/>
  <c r="B8" i="10"/>
  <c r="C8" i="10"/>
  <c r="G8" i="20"/>
  <c r="E8" i="20"/>
  <c r="G8" i="18"/>
  <c r="F8" i="18"/>
  <c r="E8" i="18"/>
  <c r="B7" i="10" l="1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F7" i="19" l="1"/>
  <c r="G7" i="19" s="1"/>
  <c r="E7" i="19"/>
  <c r="G7" i="18" l="1"/>
  <c r="E7" i="18"/>
  <c r="G7" i="20" l="1"/>
  <c r="E7" i="20"/>
  <c r="C7" i="10"/>
  <c r="F6" i="19" l="1"/>
  <c r="G6" i="19" s="1"/>
  <c r="E6" i="19"/>
  <c r="G6" i="20" l="1"/>
  <c r="I6" i="20" s="1"/>
  <c r="G6" i="18" l="1"/>
  <c r="D13" i="10" l="1"/>
  <c r="D14" i="10"/>
  <c r="D15" i="10"/>
  <c r="D16" i="10"/>
  <c r="D17" i="10"/>
  <c r="D18" i="10"/>
  <c r="D19" i="10"/>
  <c r="D20" i="10"/>
  <c r="D21" i="10"/>
  <c r="D22" i="10"/>
  <c r="D23" i="10"/>
  <c r="F6" i="6"/>
  <c r="G6" i="6" s="1"/>
  <c r="C6" i="10" s="1"/>
  <c r="E36" i="18" l="1"/>
  <c r="F5" i="18" l="1"/>
  <c r="G5" i="18" s="1"/>
  <c r="F5" i="20" l="1"/>
  <c r="G5" i="20" s="1"/>
  <c r="G4" i="20"/>
  <c r="F4" i="20"/>
  <c r="B6" i="10" l="1"/>
  <c r="F5" i="19"/>
  <c r="G5" i="19" s="1"/>
  <c r="E5" i="19"/>
  <c r="F4" i="19"/>
  <c r="G4" i="19" s="1"/>
  <c r="E4" i="19"/>
  <c r="F5" i="6" l="1"/>
  <c r="B5" i="10" s="1"/>
  <c r="C5" i="10" l="1"/>
  <c r="D4" i="10"/>
  <c r="C4" i="10"/>
  <c r="F4" i="6"/>
  <c r="B4" i="10" s="1"/>
  <c r="K5" i="10" l="1"/>
  <c r="L5" i="10"/>
  <c r="M5" i="10"/>
  <c r="K6" i="10"/>
  <c r="L6" i="10"/>
  <c r="M6" i="10"/>
  <c r="K7" i="10"/>
  <c r="L7" i="10"/>
  <c r="M7" i="10"/>
  <c r="K8" i="10"/>
  <c r="L8" i="10"/>
  <c r="M8" i="10"/>
  <c r="K9" i="10"/>
  <c r="L9" i="10"/>
  <c r="M9" i="10"/>
  <c r="K10" i="10"/>
  <c r="L10" i="10"/>
  <c r="M10" i="10"/>
  <c r="K11" i="10"/>
  <c r="L11" i="10"/>
  <c r="M11" i="10"/>
  <c r="K12" i="10"/>
  <c r="L12" i="10"/>
  <c r="M12" i="10"/>
  <c r="K13" i="10"/>
  <c r="L13" i="10"/>
  <c r="M13" i="10"/>
  <c r="K14" i="10"/>
  <c r="L14" i="10"/>
  <c r="M14" i="10"/>
  <c r="K15" i="10"/>
  <c r="L15" i="10"/>
  <c r="M15" i="10"/>
  <c r="K16" i="10"/>
  <c r="L16" i="10"/>
  <c r="M16" i="10"/>
  <c r="K17" i="10"/>
  <c r="L17" i="10"/>
  <c r="M17" i="10"/>
  <c r="K18" i="10"/>
  <c r="L18" i="10"/>
  <c r="M18" i="10"/>
  <c r="K19" i="10"/>
  <c r="L19" i="10"/>
  <c r="M19" i="10"/>
  <c r="K20" i="10"/>
  <c r="L20" i="10"/>
  <c r="M20" i="10"/>
  <c r="K21" i="10"/>
  <c r="L21" i="10"/>
  <c r="M21" i="10"/>
  <c r="K22" i="10"/>
  <c r="L22" i="10"/>
  <c r="M22" i="10"/>
  <c r="K23" i="10"/>
  <c r="L23" i="10"/>
  <c r="M23" i="10"/>
  <c r="M4" i="10"/>
  <c r="L4" i="10"/>
  <c r="K4" i="10"/>
  <c r="M68" i="20"/>
  <c r="H68" i="20"/>
  <c r="G68" i="20"/>
  <c r="F68" i="20"/>
  <c r="E68" i="20"/>
  <c r="C81" i="10" s="1"/>
  <c r="D68" i="20"/>
  <c r="B81" i="10" s="1"/>
  <c r="I40" i="20"/>
  <c r="K40" i="20" s="1"/>
  <c r="I36" i="20"/>
  <c r="J36" i="20" s="1"/>
  <c r="I35" i="20"/>
  <c r="K35" i="20" s="1"/>
  <c r="I34" i="20"/>
  <c r="J34" i="20" s="1"/>
  <c r="I33" i="20"/>
  <c r="I32" i="20"/>
  <c r="J32" i="20" s="1"/>
  <c r="I31" i="20"/>
  <c r="J31" i="20" s="1"/>
  <c r="I30" i="20"/>
  <c r="I29" i="20"/>
  <c r="I28" i="20"/>
  <c r="J28" i="20" s="1"/>
  <c r="I27" i="20"/>
  <c r="I26" i="20"/>
  <c r="J26" i="20" s="1"/>
  <c r="I25" i="20"/>
  <c r="I24" i="20"/>
  <c r="J24" i="20" s="1"/>
  <c r="I23" i="20"/>
  <c r="J23" i="20" s="1"/>
  <c r="I22" i="20"/>
  <c r="J22" i="20" s="1"/>
  <c r="I21" i="20"/>
  <c r="J21" i="20" s="1"/>
  <c r="I20" i="20"/>
  <c r="J20" i="20" s="1"/>
  <c r="I19" i="20"/>
  <c r="K19" i="20" s="1"/>
  <c r="I18" i="20"/>
  <c r="J18" i="20" s="1"/>
  <c r="I17" i="20"/>
  <c r="I16" i="20"/>
  <c r="I15" i="20"/>
  <c r="K15" i="20" s="1"/>
  <c r="I14" i="20"/>
  <c r="K14" i="20" s="1"/>
  <c r="I13" i="20"/>
  <c r="J13" i="20" s="1"/>
  <c r="I12" i="20"/>
  <c r="I11" i="20"/>
  <c r="I10" i="20"/>
  <c r="J10" i="20" s="1"/>
  <c r="I9" i="20"/>
  <c r="I8" i="20"/>
  <c r="J8" i="20" s="1"/>
  <c r="I7" i="20"/>
  <c r="K7" i="20" s="1"/>
  <c r="K6" i="20"/>
  <c r="I5" i="20"/>
  <c r="I4" i="20"/>
  <c r="L68" i="10" l="1"/>
  <c r="K68" i="10"/>
  <c r="M68" i="10"/>
  <c r="C90" i="10" s="1"/>
  <c r="I81" i="10"/>
  <c r="H81" i="10"/>
  <c r="J35" i="20"/>
  <c r="L35" i="20" s="1"/>
  <c r="N35" i="20" s="1"/>
  <c r="K22" i="20"/>
  <c r="L22" i="20" s="1"/>
  <c r="N22" i="20" s="1"/>
  <c r="J40" i="20"/>
  <c r="L40" i="20" s="1"/>
  <c r="N40" i="20" s="1"/>
  <c r="K23" i="20"/>
  <c r="L23" i="20" s="1"/>
  <c r="N23" i="20" s="1"/>
  <c r="J29" i="20"/>
  <c r="L27" i="20"/>
  <c r="N27" i="20" s="1"/>
  <c r="K11" i="20"/>
  <c r="K24" i="20"/>
  <c r="L24" i="20" s="1"/>
  <c r="N24" i="20" s="1"/>
  <c r="K29" i="20"/>
  <c r="K34" i="20"/>
  <c r="L34" i="20" s="1"/>
  <c r="N34" i="20" s="1"/>
  <c r="L32" i="20"/>
  <c r="N32" i="20" s="1"/>
  <c r="J16" i="20"/>
  <c r="J19" i="20"/>
  <c r="L19" i="20" s="1"/>
  <c r="N19" i="20" s="1"/>
  <c r="K16" i="20"/>
  <c r="K13" i="20"/>
  <c r="L13" i="20" s="1"/>
  <c r="N13" i="20" s="1"/>
  <c r="J11" i="20"/>
  <c r="K8" i="20"/>
  <c r="L8" i="20" s="1"/>
  <c r="N8" i="20" s="1"/>
  <c r="J7" i="20"/>
  <c r="L7" i="20" s="1"/>
  <c r="N7" i="20" s="1"/>
  <c r="D81" i="10"/>
  <c r="E69" i="20"/>
  <c r="J15" i="20"/>
  <c r="L15" i="20" s="1"/>
  <c r="N15" i="20" s="1"/>
  <c r="J5" i="20"/>
  <c r="K26" i="20"/>
  <c r="L26" i="20" s="1"/>
  <c r="N26" i="20" s="1"/>
  <c r="K5" i="20"/>
  <c r="K21" i="20"/>
  <c r="L21" i="20" s="1"/>
  <c r="N21" i="20" s="1"/>
  <c r="I68" i="20"/>
  <c r="L30" i="20"/>
  <c r="N30" i="20" s="1"/>
  <c r="K31" i="20"/>
  <c r="L31" i="20" s="1"/>
  <c r="N31" i="20" s="1"/>
  <c r="K10" i="20"/>
  <c r="L10" i="20" s="1"/>
  <c r="N10" i="20" s="1"/>
  <c r="K18" i="20"/>
  <c r="L18" i="20" s="1"/>
  <c r="N18" i="20" s="1"/>
  <c r="K4" i="20"/>
  <c r="J9" i="20"/>
  <c r="K12" i="20"/>
  <c r="J17" i="20"/>
  <c r="K20" i="20"/>
  <c r="L20" i="20" s="1"/>
  <c r="N20" i="20" s="1"/>
  <c r="J25" i="20"/>
  <c r="K28" i="20"/>
  <c r="L28" i="20" s="1"/>
  <c r="N28" i="20" s="1"/>
  <c r="J33" i="20"/>
  <c r="K36" i="20"/>
  <c r="L36" i="20" s="1"/>
  <c r="N36" i="20" s="1"/>
  <c r="J4" i="20"/>
  <c r="J12" i="20"/>
  <c r="J6" i="20"/>
  <c r="L6" i="20" s="1"/>
  <c r="N6" i="20" s="1"/>
  <c r="K9" i="20"/>
  <c r="J14" i="20"/>
  <c r="L14" i="20" s="1"/>
  <c r="N14" i="20" s="1"/>
  <c r="K17" i="20"/>
  <c r="K25" i="20"/>
  <c r="K33" i="20"/>
  <c r="H7" i="10"/>
  <c r="I7" i="10"/>
  <c r="J7" i="10"/>
  <c r="H8" i="10"/>
  <c r="I8" i="10"/>
  <c r="J8" i="10"/>
  <c r="H9" i="10"/>
  <c r="I9" i="10"/>
  <c r="J9" i="10"/>
  <c r="H10" i="10"/>
  <c r="I10" i="10"/>
  <c r="J10" i="10"/>
  <c r="H11" i="10"/>
  <c r="I11" i="10"/>
  <c r="J11" i="10"/>
  <c r="H12" i="10"/>
  <c r="I12" i="10"/>
  <c r="J12" i="10"/>
  <c r="H13" i="10"/>
  <c r="I13" i="10"/>
  <c r="J13" i="10"/>
  <c r="H14" i="10"/>
  <c r="I14" i="10"/>
  <c r="J14" i="10"/>
  <c r="H15" i="10"/>
  <c r="I15" i="10"/>
  <c r="J15" i="10"/>
  <c r="H16" i="10"/>
  <c r="I16" i="10"/>
  <c r="J16" i="10"/>
  <c r="H17" i="10"/>
  <c r="I17" i="10"/>
  <c r="J17" i="10"/>
  <c r="H18" i="10"/>
  <c r="I18" i="10"/>
  <c r="J18" i="10"/>
  <c r="H19" i="10"/>
  <c r="I19" i="10"/>
  <c r="J19" i="10"/>
  <c r="H20" i="10"/>
  <c r="I20" i="10"/>
  <c r="J20" i="10"/>
  <c r="H21" i="10"/>
  <c r="I21" i="10"/>
  <c r="J21" i="10"/>
  <c r="H22" i="10"/>
  <c r="I22" i="10"/>
  <c r="J22" i="10"/>
  <c r="H23" i="10"/>
  <c r="I23" i="10"/>
  <c r="J23" i="10"/>
  <c r="H5" i="10"/>
  <c r="I5" i="10"/>
  <c r="J5" i="10"/>
  <c r="H6" i="10"/>
  <c r="I6" i="10"/>
  <c r="J6" i="10"/>
  <c r="I4" i="10"/>
  <c r="J4" i="10"/>
  <c r="H4" i="10"/>
  <c r="E5" i="10"/>
  <c r="F5" i="10"/>
  <c r="G5" i="10"/>
  <c r="E6" i="10"/>
  <c r="F6" i="10"/>
  <c r="G6" i="10"/>
  <c r="E7" i="10"/>
  <c r="F7" i="10"/>
  <c r="G7" i="10"/>
  <c r="E8" i="10"/>
  <c r="F8" i="10"/>
  <c r="G8" i="10"/>
  <c r="E9" i="10"/>
  <c r="F9" i="10"/>
  <c r="G9" i="10"/>
  <c r="E10" i="10"/>
  <c r="F10" i="10"/>
  <c r="G10" i="10"/>
  <c r="E11" i="10"/>
  <c r="F11" i="10"/>
  <c r="G11" i="10"/>
  <c r="E12" i="10"/>
  <c r="F12" i="10"/>
  <c r="G12" i="10"/>
  <c r="E13" i="10"/>
  <c r="F13" i="10"/>
  <c r="G13" i="10"/>
  <c r="E14" i="10"/>
  <c r="F14" i="10"/>
  <c r="G14" i="10"/>
  <c r="E15" i="10"/>
  <c r="F15" i="10"/>
  <c r="G15" i="10"/>
  <c r="E16" i="10"/>
  <c r="F16" i="10"/>
  <c r="G16" i="10"/>
  <c r="E17" i="10"/>
  <c r="F17" i="10"/>
  <c r="G17" i="10"/>
  <c r="E18" i="10"/>
  <c r="F18" i="10"/>
  <c r="G18" i="10"/>
  <c r="E19" i="10"/>
  <c r="F19" i="10"/>
  <c r="G19" i="10"/>
  <c r="E20" i="10"/>
  <c r="F20" i="10"/>
  <c r="G20" i="10"/>
  <c r="E21" i="10"/>
  <c r="F21" i="10"/>
  <c r="G21" i="10"/>
  <c r="E22" i="10"/>
  <c r="F22" i="10"/>
  <c r="G22" i="10"/>
  <c r="E23" i="10"/>
  <c r="F23" i="10"/>
  <c r="G23" i="10"/>
  <c r="G4" i="10"/>
  <c r="F4" i="10"/>
  <c r="E4" i="10"/>
  <c r="O69" i="19"/>
  <c r="F80" i="10" s="1"/>
  <c r="M69" i="19"/>
  <c r="H69" i="19"/>
  <c r="G69" i="19"/>
  <c r="F69" i="19"/>
  <c r="E69" i="19"/>
  <c r="C80" i="10" s="1"/>
  <c r="B80" i="10"/>
  <c r="I37" i="19"/>
  <c r="I36" i="19"/>
  <c r="I35" i="19"/>
  <c r="J35" i="19" s="1"/>
  <c r="I34" i="19"/>
  <c r="I33" i="19"/>
  <c r="I31" i="19"/>
  <c r="K31" i="19" s="1"/>
  <c r="I30" i="19"/>
  <c r="K30" i="19" s="1"/>
  <c r="I29" i="19"/>
  <c r="K29" i="19" s="1"/>
  <c r="I28" i="19"/>
  <c r="I27" i="19"/>
  <c r="K27" i="19" s="1"/>
  <c r="I26" i="19"/>
  <c r="J26" i="19" s="1"/>
  <c r="I25" i="19"/>
  <c r="I24" i="19"/>
  <c r="I23" i="19"/>
  <c r="I22" i="19"/>
  <c r="I21" i="19"/>
  <c r="K21" i="19" s="1"/>
  <c r="I20" i="19"/>
  <c r="J20" i="19" s="1"/>
  <c r="I19" i="19"/>
  <c r="J19" i="19" s="1"/>
  <c r="I18" i="19"/>
  <c r="J18" i="19" s="1"/>
  <c r="I17" i="19"/>
  <c r="I16" i="19"/>
  <c r="I15" i="19"/>
  <c r="K15" i="19" s="1"/>
  <c r="I14" i="19"/>
  <c r="I13" i="19"/>
  <c r="J13" i="19" s="1"/>
  <c r="I12" i="19"/>
  <c r="I11" i="19"/>
  <c r="J11" i="19" s="1"/>
  <c r="I10" i="19"/>
  <c r="J10" i="19" s="1"/>
  <c r="I9" i="19"/>
  <c r="I8" i="19"/>
  <c r="I7" i="19"/>
  <c r="K7" i="19" s="1"/>
  <c r="I6" i="19"/>
  <c r="I5" i="19"/>
  <c r="I4" i="19"/>
  <c r="J4" i="19" s="1"/>
  <c r="O36" i="18"/>
  <c r="M36" i="18"/>
  <c r="H36" i="18"/>
  <c r="G36" i="18"/>
  <c r="I79" i="10" s="1"/>
  <c r="F36" i="18"/>
  <c r="H79" i="10" s="1"/>
  <c r="D36" i="18"/>
  <c r="B79" i="10" s="1"/>
  <c r="I35" i="18"/>
  <c r="K35" i="18" s="1"/>
  <c r="I34" i="18"/>
  <c r="J34" i="18" s="1"/>
  <c r="I33" i="18"/>
  <c r="I32" i="18"/>
  <c r="K32" i="18" s="1"/>
  <c r="I31" i="18"/>
  <c r="K31" i="18" s="1"/>
  <c r="I30" i="18"/>
  <c r="I29" i="18"/>
  <c r="K29" i="18" s="1"/>
  <c r="I28" i="18"/>
  <c r="J28" i="18" s="1"/>
  <c r="I27" i="18"/>
  <c r="J27" i="18" s="1"/>
  <c r="I26" i="18"/>
  <c r="J26" i="18" s="1"/>
  <c r="I25" i="18"/>
  <c r="I24" i="18"/>
  <c r="K24" i="18" s="1"/>
  <c r="I23" i="18"/>
  <c r="J23" i="18" s="1"/>
  <c r="I22" i="18"/>
  <c r="I21" i="18"/>
  <c r="K21" i="18" s="1"/>
  <c r="I20" i="18"/>
  <c r="J20" i="18" s="1"/>
  <c r="I19" i="18"/>
  <c r="K19" i="18" s="1"/>
  <c r="I18" i="18"/>
  <c r="J18" i="18" s="1"/>
  <c r="I17" i="18"/>
  <c r="I16" i="18"/>
  <c r="K16" i="18" s="1"/>
  <c r="I15" i="18"/>
  <c r="K15" i="18" s="1"/>
  <c r="I13" i="18"/>
  <c r="K13" i="18" s="1"/>
  <c r="I12" i="18"/>
  <c r="J12" i="18" s="1"/>
  <c r="I11" i="18"/>
  <c r="I10" i="18"/>
  <c r="J10" i="18" s="1"/>
  <c r="I9" i="18"/>
  <c r="I8" i="18"/>
  <c r="K8" i="18" s="1"/>
  <c r="I7" i="18"/>
  <c r="K7" i="18" s="1"/>
  <c r="I6" i="18"/>
  <c r="I5" i="18"/>
  <c r="K5" i="18" s="1"/>
  <c r="I4" i="18"/>
  <c r="K4" i="18" s="1"/>
  <c r="L16" i="20" l="1"/>
  <c r="N16" i="20" s="1"/>
  <c r="F68" i="10"/>
  <c r="G68" i="10"/>
  <c r="E68" i="10"/>
  <c r="H68" i="10"/>
  <c r="J68" i="10"/>
  <c r="I68" i="10"/>
  <c r="J81" i="10"/>
  <c r="B90" i="10" s="1"/>
  <c r="D90" i="10" s="1"/>
  <c r="L9" i="20"/>
  <c r="N9" i="20" s="1"/>
  <c r="H80" i="10"/>
  <c r="I80" i="10"/>
  <c r="L71" i="10"/>
  <c r="O15" i="10"/>
  <c r="O7" i="10"/>
  <c r="O12" i="10"/>
  <c r="L29" i="20"/>
  <c r="N29" i="20" s="1"/>
  <c r="O14" i="10"/>
  <c r="L11" i="20"/>
  <c r="N11" i="20" s="1"/>
  <c r="K22" i="19"/>
  <c r="O17" i="10"/>
  <c r="O9" i="10"/>
  <c r="O6" i="10"/>
  <c r="O18" i="10"/>
  <c r="O10" i="10"/>
  <c r="N5" i="10"/>
  <c r="L25" i="20"/>
  <c r="N25" i="20" s="1"/>
  <c r="K23" i="19"/>
  <c r="O21" i="10"/>
  <c r="O13" i="10"/>
  <c r="O19" i="10"/>
  <c r="O11" i="10"/>
  <c r="J12" i="19"/>
  <c r="O16" i="10"/>
  <c r="O8" i="10"/>
  <c r="K13" i="19"/>
  <c r="L13" i="19" s="1"/>
  <c r="N13" i="19" s="1"/>
  <c r="L12" i="20"/>
  <c r="N12" i="20" s="1"/>
  <c r="J5" i="19"/>
  <c r="L5" i="20"/>
  <c r="N5" i="20" s="1"/>
  <c r="L4" i="20"/>
  <c r="N4" i="20" s="1"/>
  <c r="K5" i="19"/>
  <c r="D80" i="10"/>
  <c r="O23" i="10"/>
  <c r="N21" i="10"/>
  <c r="N13" i="10"/>
  <c r="N23" i="10"/>
  <c r="N15" i="10"/>
  <c r="N7" i="10"/>
  <c r="O4" i="10"/>
  <c r="O20" i="10"/>
  <c r="N18" i="10"/>
  <c r="N10" i="10"/>
  <c r="O22" i="10"/>
  <c r="N20" i="10"/>
  <c r="N12" i="10"/>
  <c r="N17" i="10"/>
  <c r="N9" i="10"/>
  <c r="N4" i="10"/>
  <c r="N22" i="10"/>
  <c r="N14" i="10"/>
  <c r="N6" i="10"/>
  <c r="M71" i="10"/>
  <c r="N19" i="10"/>
  <c r="N11" i="10"/>
  <c r="O5" i="10"/>
  <c r="N16" i="10"/>
  <c r="N8" i="10"/>
  <c r="L17" i="20"/>
  <c r="N17" i="20" s="1"/>
  <c r="J29" i="19"/>
  <c r="L29" i="19" s="1"/>
  <c r="N29" i="19" s="1"/>
  <c r="J5" i="18"/>
  <c r="L5" i="18" s="1"/>
  <c r="N5" i="18" s="1"/>
  <c r="K18" i="18"/>
  <c r="L18" i="18" s="1"/>
  <c r="N18" i="18" s="1"/>
  <c r="J23" i="19"/>
  <c r="J31" i="19"/>
  <c r="L31" i="19" s="1"/>
  <c r="N31" i="19" s="1"/>
  <c r="L33" i="20"/>
  <c r="N33" i="20" s="1"/>
  <c r="J21" i="18"/>
  <c r="L21" i="18" s="1"/>
  <c r="N21" i="18" s="1"/>
  <c r="K68" i="20"/>
  <c r="J68" i="20"/>
  <c r="J4" i="18"/>
  <c r="K23" i="18"/>
  <c r="L23" i="18" s="1"/>
  <c r="N23" i="18" s="1"/>
  <c r="K27" i="18"/>
  <c r="L27" i="18" s="1"/>
  <c r="N27" i="18" s="1"/>
  <c r="J31" i="18"/>
  <c r="L31" i="18" s="1"/>
  <c r="N31" i="18" s="1"/>
  <c r="J35" i="18"/>
  <c r="L35" i="18" s="1"/>
  <c r="N35" i="18" s="1"/>
  <c r="E37" i="18"/>
  <c r="J7" i="19"/>
  <c r="L7" i="19" s="1"/>
  <c r="N7" i="19" s="1"/>
  <c r="J15" i="19"/>
  <c r="L15" i="19" s="1"/>
  <c r="N15" i="19" s="1"/>
  <c r="L35" i="19"/>
  <c r="N35" i="19" s="1"/>
  <c r="K10" i="18"/>
  <c r="L10" i="18" s="1"/>
  <c r="N10" i="18" s="1"/>
  <c r="J13" i="18"/>
  <c r="L13" i="18" s="1"/>
  <c r="N13" i="18" s="1"/>
  <c r="K26" i="19"/>
  <c r="L26" i="19" s="1"/>
  <c r="N26" i="19" s="1"/>
  <c r="J36" i="19"/>
  <c r="L36" i="19" s="1"/>
  <c r="N36" i="19" s="1"/>
  <c r="C79" i="10"/>
  <c r="D79" i="10" s="1"/>
  <c r="K26" i="18"/>
  <c r="L26" i="18" s="1"/>
  <c r="N26" i="18" s="1"/>
  <c r="J29" i="18"/>
  <c r="L29" i="18" s="1"/>
  <c r="N29" i="18" s="1"/>
  <c r="J6" i="19"/>
  <c r="K10" i="19"/>
  <c r="L10" i="19" s="1"/>
  <c r="N10" i="19" s="1"/>
  <c r="J27" i="19"/>
  <c r="L27" i="19" s="1"/>
  <c r="N27" i="19" s="1"/>
  <c r="J7" i="18"/>
  <c r="L7" i="18" s="1"/>
  <c r="N7" i="18" s="1"/>
  <c r="K11" i="18"/>
  <c r="J15" i="18"/>
  <c r="L15" i="18" s="1"/>
  <c r="N15" i="18" s="1"/>
  <c r="J19" i="18"/>
  <c r="L19" i="18" s="1"/>
  <c r="N19" i="18" s="1"/>
  <c r="K34" i="18"/>
  <c r="L34" i="18" s="1"/>
  <c r="N34" i="18" s="1"/>
  <c r="K6" i="19"/>
  <c r="J14" i="19"/>
  <c r="K18" i="19"/>
  <c r="L18" i="19" s="1"/>
  <c r="N18" i="19" s="1"/>
  <c r="J11" i="18"/>
  <c r="K14" i="19"/>
  <c r="E70" i="19"/>
  <c r="J79" i="10"/>
  <c r="I69" i="19"/>
  <c r="J37" i="19"/>
  <c r="K4" i="19"/>
  <c r="L4" i="19" s="1"/>
  <c r="J9" i="19"/>
  <c r="K12" i="19"/>
  <c r="J17" i="19"/>
  <c r="K20" i="19"/>
  <c r="L20" i="19" s="1"/>
  <c r="N20" i="19" s="1"/>
  <c r="J25" i="19"/>
  <c r="K28" i="19"/>
  <c r="J34" i="19"/>
  <c r="K37" i="19"/>
  <c r="J28" i="19"/>
  <c r="K9" i="19"/>
  <c r="K17" i="19"/>
  <c r="J22" i="19"/>
  <c r="K25" i="19"/>
  <c r="J30" i="19"/>
  <c r="L30" i="19" s="1"/>
  <c r="N30" i="19" s="1"/>
  <c r="J8" i="19"/>
  <c r="K11" i="19"/>
  <c r="L11" i="19" s="1"/>
  <c r="N11" i="19" s="1"/>
  <c r="J16" i="19"/>
  <c r="K19" i="19"/>
  <c r="L19" i="19" s="1"/>
  <c r="N19" i="19" s="1"/>
  <c r="J24" i="19"/>
  <c r="J33" i="19"/>
  <c r="K8" i="19"/>
  <c r="K16" i="19"/>
  <c r="J21" i="19"/>
  <c r="L21" i="19" s="1"/>
  <c r="N21" i="19" s="1"/>
  <c r="K24" i="19"/>
  <c r="I36" i="18"/>
  <c r="J9" i="18"/>
  <c r="K12" i="18"/>
  <c r="L12" i="18" s="1"/>
  <c r="N12" i="18" s="1"/>
  <c r="J17" i="18"/>
  <c r="K20" i="18"/>
  <c r="L20" i="18" s="1"/>
  <c r="N20" i="18" s="1"/>
  <c r="J25" i="18"/>
  <c r="K28" i="18"/>
  <c r="L28" i="18" s="1"/>
  <c r="N28" i="18" s="1"/>
  <c r="J33" i="18"/>
  <c r="L4" i="18"/>
  <c r="J6" i="18"/>
  <c r="K9" i="18"/>
  <c r="K17" i="18"/>
  <c r="J22" i="18"/>
  <c r="K25" i="18"/>
  <c r="J30" i="18"/>
  <c r="K33" i="18"/>
  <c r="K22" i="18"/>
  <c r="K30" i="18"/>
  <c r="K6" i="18"/>
  <c r="J8" i="18"/>
  <c r="L8" i="18" s="1"/>
  <c r="N8" i="18" s="1"/>
  <c r="J16" i="18"/>
  <c r="L16" i="18" s="1"/>
  <c r="N16" i="18" s="1"/>
  <c r="J24" i="18"/>
  <c r="L24" i="18" s="1"/>
  <c r="N24" i="18" s="1"/>
  <c r="J32" i="18"/>
  <c r="L32" i="18" s="1"/>
  <c r="N32" i="18" s="1"/>
  <c r="O68" i="10" l="1"/>
  <c r="J80" i="10"/>
  <c r="B89" i="10" s="1"/>
  <c r="L14" i="19"/>
  <c r="N14" i="19" s="1"/>
  <c r="L12" i="19"/>
  <c r="N12" i="19" s="1"/>
  <c r="L5" i="19"/>
  <c r="N5" i="19" s="1"/>
  <c r="L22" i="19"/>
  <c r="N22" i="19" s="1"/>
  <c r="L23" i="19"/>
  <c r="N23" i="19" s="1"/>
  <c r="L11" i="18"/>
  <c r="L28" i="19"/>
  <c r="N28" i="19" s="1"/>
  <c r="I71" i="10"/>
  <c r="L22" i="18"/>
  <c r="N22" i="18" s="1"/>
  <c r="G90" i="10"/>
  <c r="N11" i="18"/>
  <c r="J71" i="10"/>
  <c r="C89" i="10"/>
  <c r="L33" i="19"/>
  <c r="N33" i="19" s="1"/>
  <c r="L37" i="19"/>
  <c r="N37" i="19" s="1"/>
  <c r="L24" i="19"/>
  <c r="N24" i="19" s="1"/>
  <c r="B88" i="10"/>
  <c r="L8" i="19"/>
  <c r="N8" i="19" s="1"/>
  <c r="L68" i="20"/>
  <c r="L6" i="19"/>
  <c r="N6" i="19" s="1"/>
  <c r="N68" i="20"/>
  <c r="L25" i="19"/>
  <c r="N25" i="19" s="1"/>
  <c r="L30" i="18"/>
  <c r="N30" i="18" s="1"/>
  <c r="L17" i="18"/>
  <c r="N17" i="18" s="1"/>
  <c r="L16" i="19"/>
  <c r="N16" i="19" s="1"/>
  <c r="L34" i="19"/>
  <c r="N34" i="19" s="1"/>
  <c r="L17" i="19"/>
  <c r="N17" i="19" s="1"/>
  <c r="N14" i="18"/>
  <c r="L33" i="18"/>
  <c r="N33" i="18" s="1"/>
  <c r="K36" i="18"/>
  <c r="L9" i="18"/>
  <c r="N9" i="18" s="1"/>
  <c r="J69" i="19"/>
  <c r="L9" i="19"/>
  <c r="N9" i="19" s="1"/>
  <c r="L6" i="18"/>
  <c r="N6" i="18" s="1"/>
  <c r="L25" i="18"/>
  <c r="N25" i="18" s="1"/>
  <c r="N4" i="19"/>
  <c r="K69" i="19"/>
  <c r="J36" i="18"/>
  <c r="N4" i="18"/>
  <c r="N69" i="19" l="1"/>
  <c r="N36" i="18"/>
  <c r="J69" i="10"/>
  <c r="M69" i="10"/>
  <c r="D89" i="10"/>
  <c r="G89" i="10"/>
  <c r="L69" i="19"/>
  <c r="L36" i="18"/>
  <c r="B78" i="10" l="1"/>
  <c r="B82" i="10" s="1"/>
  <c r="I4" i="7" l="1"/>
  <c r="I30" i="6" l="1"/>
  <c r="H51" i="7" l="1"/>
  <c r="I41" i="7" l="1"/>
  <c r="P5" i="10" l="1"/>
  <c r="P6" i="10"/>
  <c r="P7" i="10"/>
  <c r="P8" i="10"/>
  <c r="P9" i="10"/>
  <c r="P10" i="10"/>
  <c r="P12" i="10"/>
  <c r="P13" i="10"/>
  <c r="R13" i="10" s="1"/>
  <c r="P14" i="10"/>
  <c r="R14" i="10" s="1"/>
  <c r="P15" i="10"/>
  <c r="R15" i="10" s="1"/>
  <c r="P16" i="10"/>
  <c r="R16" i="10" s="1"/>
  <c r="P17" i="10"/>
  <c r="R17" i="10" s="1"/>
  <c r="P18" i="10"/>
  <c r="R18" i="10" s="1"/>
  <c r="P19" i="10"/>
  <c r="R19" i="10" s="1"/>
  <c r="P22" i="10"/>
  <c r="R22" i="10" s="1"/>
  <c r="P25" i="10"/>
  <c r="R25" i="10" s="1"/>
  <c r="I26" i="7"/>
  <c r="P31" i="10" s="1"/>
  <c r="R31" i="10" s="1"/>
  <c r="I27" i="7"/>
  <c r="P33" i="10" s="1"/>
  <c r="R33" i="10" s="1"/>
  <c r="I28" i="7"/>
  <c r="I29" i="7"/>
  <c r="P42" i="10" s="1"/>
  <c r="R42" i="10" s="1"/>
  <c r="I30" i="7"/>
  <c r="P45" i="10" s="1"/>
  <c r="R45" i="10" s="1"/>
  <c r="I31" i="7"/>
  <c r="P49" i="10" s="1"/>
  <c r="R49" i="10" s="1"/>
  <c r="I32" i="7"/>
  <c r="I33" i="7"/>
  <c r="I34" i="7"/>
  <c r="P56" i="10" s="1"/>
  <c r="I35" i="7"/>
  <c r="I36" i="7"/>
  <c r="I37" i="7"/>
  <c r="I38" i="7"/>
  <c r="I39" i="7"/>
  <c r="I40" i="7"/>
  <c r="I42" i="7"/>
  <c r="I43" i="7"/>
  <c r="I44" i="7"/>
  <c r="I45" i="7"/>
  <c r="I46" i="7"/>
  <c r="I47" i="7"/>
  <c r="I48" i="7"/>
  <c r="I49" i="7"/>
  <c r="I5" i="7"/>
  <c r="P4" i="10" s="1"/>
  <c r="R4" i="10" s="1"/>
  <c r="S12" i="10" l="1"/>
  <c r="R12" i="10"/>
  <c r="S10" i="10"/>
  <c r="R10" i="10"/>
  <c r="S9" i="10"/>
  <c r="R9" i="10"/>
  <c r="S8" i="10"/>
  <c r="R8" i="10"/>
  <c r="S7" i="10"/>
  <c r="R7" i="10"/>
  <c r="S6" i="10"/>
  <c r="R6" i="10"/>
  <c r="S5" i="10"/>
  <c r="R5" i="10"/>
  <c r="S49" i="10"/>
  <c r="S45" i="10"/>
  <c r="S42" i="10"/>
  <c r="K28" i="7"/>
  <c r="P40" i="10"/>
  <c r="R40" i="10" s="1"/>
  <c r="S33" i="10"/>
  <c r="S31" i="10"/>
  <c r="I50" i="7"/>
  <c r="S25" i="10"/>
  <c r="P11" i="10"/>
  <c r="S22" i="10"/>
  <c r="S18" i="10"/>
  <c r="S17" i="10"/>
  <c r="S4" i="10"/>
  <c r="S19" i="10"/>
  <c r="S16" i="10"/>
  <c r="S15" i="10"/>
  <c r="S14" i="10"/>
  <c r="S13" i="10"/>
  <c r="P23" i="10"/>
  <c r="R23" i="10" s="1"/>
  <c r="S11" i="10" l="1"/>
  <c r="R11" i="10"/>
  <c r="S40" i="10"/>
  <c r="S23" i="10"/>
  <c r="J41" i="7"/>
  <c r="J42" i="7"/>
  <c r="K42" i="7"/>
  <c r="J43" i="7"/>
  <c r="M43" i="7"/>
  <c r="J44" i="7"/>
  <c r="J45" i="7"/>
  <c r="K45" i="7"/>
  <c r="M45" i="7"/>
  <c r="L45" i="7" l="1"/>
  <c r="N45" i="7" s="1"/>
  <c r="L42" i="7"/>
  <c r="K43" i="7"/>
  <c r="L43" i="7" s="1"/>
  <c r="N43" i="7" s="1"/>
  <c r="M41" i="7"/>
  <c r="M44" i="7"/>
  <c r="K41" i="7"/>
  <c r="L41" i="7" s="1"/>
  <c r="K44" i="7"/>
  <c r="L44" i="7" s="1"/>
  <c r="N44" i="7" s="1"/>
  <c r="M42" i="7"/>
  <c r="N41" i="7" l="1"/>
  <c r="N42" i="7"/>
  <c r="J36" i="7"/>
  <c r="J38" i="7"/>
  <c r="J39" i="7"/>
  <c r="M40" i="7"/>
  <c r="M36" i="7" l="1"/>
  <c r="K40" i="7"/>
  <c r="M38" i="7"/>
  <c r="K37" i="7"/>
  <c r="K38" i="7"/>
  <c r="L38" i="7" s="1"/>
  <c r="N38" i="7" s="1"/>
  <c r="M39" i="7"/>
  <c r="K36" i="7"/>
  <c r="L36" i="7" s="1"/>
  <c r="J40" i="7"/>
  <c r="K39" i="7"/>
  <c r="L39" i="7" s="1"/>
  <c r="M37" i="7"/>
  <c r="J37" i="7"/>
  <c r="N39" i="7" l="1"/>
  <c r="N36" i="7"/>
  <c r="L37" i="7"/>
  <c r="N37" i="7" s="1"/>
  <c r="L40" i="7"/>
  <c r="N40" i="7" s="1"/>
  <c r="J35" i="7" l="1"/>
  <c r="K35" i="7" l="1"/>
  <c r="L35" i="7" s="1"/>
  <c r="N35" i="7" l="1"/>
  <c r="K34" i="7" l="1"/>
  <c r="J34" i="7"/>
  <c r="L34" i="7" l="1"/>
  <c r="N34" i="7" s="1"/>
  <c r="K33" i="7"/>
  <c r="J33" i="7" l="1"/>
  <c r="N33" i="7" l="1"/>
  <c r="K32" i="7" l="1"/>
  <c r="J32" i="7"/>
  <c r="L32" i="7" l="1"/>
  <c r="N32" i="7" s="1"/>
  <c r="K31" i="7" l="1"/>
  <c r="J31" i="7"/>
  <c r="L31" i="7" l="1"/>
  <c r="N31" i="7" s="1"/>
  <c r="I31" i="6" l="1"/>
  <c r="K30" i="7" l="1"/>
  <c r="J30" i="7" l="1"/>
  <c r="L30" i="7" s="1"/>
  <c r="N30" i="7" s="1"/>
  <c r="J29" i="7" l="1"/>
  <c r="K29" i="7"/>
  <c r="L29" i="7" l="1"/>
  <c r="N29" i="7" s="1"/>
  <c r="P21" i="10" l="1"/>
  <c r="R21" i="10" s="1"/>
  <c r="K4" i="7"/>
  <c r="J6" i="7"/>
  <c r="J7" i="7"/>
  <c r="K8" i="7"/>
  <c r="K9" i="7"/>
  <c r="K11" i="7"/>
  <c r="K13" i="7"/>
  <c r="J16" i="7"/>
  <c r="K17" i="7"/>
  <c r="J18" i="7"/>
  <c r="J20" i="7"/>
  <c r="J27" i="7"/>
  <c r="K5" i="7"/>
  <c r="H70" i="6"/>
  <c r="D68" i="10" s="1"/>
  <c r="D69" i="10" s="1"/>
  <c r="I24" i="6"/>
  <c r="K24" i="6" s="1"/>
  <c r="I25" i="6"/>
  <c r="K25" i="6" s="1"/>
  <c r="I26" i="6"/>
  <c r="K26" i="6" s="1"/>
  <c r="I27" i="6"/>
  <c r="I28" i="6"/>
  <c r="J28" i="6" s="1"/>
  <c r="I29" i="6"/>
  <c r="J29" i="6" s="1"/>
  <c r="J30" i="6"/>
  <c r="K31" i="6"/>
  <c r="I9" i="6"/>
  <c r="F51" i="7"/>
  <c r="D50" i="7"/>
  <c r="E51" i="7"/>
  <c r="F78" i="10"/>
  <c r="I5" i="6"/>
  <c r="J5" i="6" s="1"/>
  <c r="I8" i="6"/>
  <c r="J8" i="6" s="1"/>
  <c r="I4" i="6"/>
  <c r="K4" i="6" s="1"/>
  <c r="J8" i="7"/>
  <c r="I16" i="6"/>
  <c r="K16" i="6" s="1"/>
  <c r="I14" i="6"/>
  <c r="S21" i="10" l="1"/>
  <c r="K14" i="6"/>
  <c r="J16" i="6"/>
  <c r="F82" i="10"/>
  <c r="J9" i="6"/>
  <c r="P20" i="10"/>
  <c r="L16" i="6"/>
  <c r="N16" i="6" s="1"/>
  <c r="I23" i="6"/>
  <c r="K23" i="6" s="1"/>
  <c r="M70" i="6"/>
  <c r="K6" i="7"/>
  <c r="L6" i="7" s="1"/>
  <c r="N6" i="7" s="1"/>
  <c r="K5" i="6"/>
  <c r="L5" i="6" s="1"/>
  <c r="N5" i="6" s="1"/>
  <c r="K8" i="6"/>
  <c r="L8" i="6" s="1"/>
  <c r="N8" i="6" s="1"/>
  <c r="J25" i="6"/>
  <c r="L25" i="6" s="1"/>
  <c r="N25" i="6" s="1"/>
  <c r="I7" i="6"/>
  <c r="I18" i="6"/>
  <c r="I22" i="6"/>
  <c r="I17" i="6"/>
  <c r="F70" i="6"/>
  <c r="J24" i="6"/>
  <c r="L24" i="6" s="1"/>
  <c r="N24" i="6" s="1"/>
  <c r="J4" i="6"/>
  <c r="L4" i="6" s="1"/>
  <c r="N4" i="6" s="1"/>
  <c r="E70" i="6"/>
  <c r="C78" i="10" s="1"/>
  <c r="C82" i="10" s="1"/>
  <c r="J14" i="6"/>
  <c r="J26" i="6"/>
  <c r="L26" i="6" s="1"/>
  <c r="N26" i="6" s="1"/>
  <c r="K9" i="6"/>
  <c r="I10" i="6"/>
  <c r="K14" i="7"/>
  <c r="J24" i="7"/>
  <c r="K12" i="7"/>
  <c r="K18" i="7"/>
  <c r="L18" i="7" s="1"/>
  <c r="N18" i="7" s="1"/>
  <c r="J4" i="7"/>
  <c r="L4" i="7" s="1"/>
  <c r="J19" i="7"/>
  <c r="L8" i="7"/>
  <c r="N8" i="7" s="1"/>
  <c r="J11" i="7"/>
  <c r="L11" i="7" s="1"/>
  <c r="N11" i="7" s="1"/>
  <c r="K19" i="7"/>
  <c r="J10" i="7"/>
  <c r="K15" i="7"/>
  <c r="J14" i="7"/>
  <c r="K20" i="7"/>
  <c r="L20" i="7" s="1"/>
  <c r="N20" i="7" s="1"/>
  <c r="K10" i="7"/>
  <c r="K21" i="7"/>
  <c r="J13" i="7"/>
  <c r="L13" i="7" s="1"/>
  <c r="N13" i="7" s="1"/>
  <c r="K24" i="7"/>
  <c r="J9" i="7"/>
  <c r="L9" i="7" s="1"/>
  <c r="N9" i="7" s="1"/>
  <c r="J5" i="7"/>
  <c r="L5" i="7" s="1"/>
  <c r="K16" i="7"/>
  <c r="L16" i="7" s="1"/>
  <c r="N16" i="7" s="1"/>
  <c r="J22" i="7"/>
  <c r="K25" i="7"/>
  <c r="J15" i="7"/>
  <c r="J23" i="7"/>
  <c r="J12" i="7"/>
  <c r="K22" i="7"/>
  <c r="K23" i="7"/>
  <c r="J21" i="7"/>
  <c r="K7" i="7"/>
  <c r="L7" i="7" s="1"/>
  <c r="N7" i="7" s="1"/>
  <c r="J17" i="7"/>
  <c r="L17" i="7" s="1"/>
  <c r="N17" i="7" s="1"/>
  <c r="J28" i="7"/>
  <c r="L28" i="7" s="1"/>
  <c r="J31" i="6"/>
  <c r="L31" i="6" s="1"/>
  <c r="N31" i="6" s="1"/>
  <c r="C87" i="10"/>
  <c r="L30" i="6"/>
  <c r="N30" i="6" s="1"/>
  <c r="K29" i="6"/>
  <c r="L29" i="6" s="1"/>
  <c r="N29" i="6" s="1"/>
  <c r="G69" i="10"/>
  <c r="J26" i="7"/>
  <c r="K26" i="7"/>
  <c r="G51" i="7"/>
  <c r="L27" i="7"/>
  <c r="N27" i="7" s="1"/>
  <c r="L27" i="6"/>
  <c r="J25" i="7"/>
  <c r="P68" i="10" l="1"/>
  <c r="R20" i="10"/>
  <c r="B68" i="10"/>
  <c r="N28" i="7"/>
  <c r="L9" i="6"/>
  <c r="S20" i="10"/>
  <c r="L14" i="6"/>
  <c r="N14" i="6" s="1"/>
  <c r="H78" i="10"/>
  <c r="M50" i="7"/>
  <c r="G71" i="10"/>
  <c r="C88" i="10"/>
  <c r="C91" i="10" s="1"/>
  <c r="D71" i="10"/>
  <c r="L15" i="7"/>
  <c r="N15" i="7" s="1"/>
  <c r="D78" i="10"/>
  <c r="D82" i="10" s="1"/>
  <c r="N9" i="6"/>
  <c r="J23" i="6"/>
  <c r="L23" i="6" s="1"/>
  <c r="N23" i="6" s="1"/>
  <c r="I21" i="6"/>
  <c r="I13" i="6"/>
  <c r="K13" i="6" s="1"/>
  <c r="L14" i="7"/>
  <c r="N14" i="7" s="1"/>
  <c r="E71" i="6"/>
  <c r="J18" i="6"/>
  <c r="K18" i="6"/>
  <c r="K10" i="6"/>
  <c r="J10" i="6"/>
  <c r="I12" i="6"/>
  <c r="I6" i="6"/>
  <c r="I15" i="6"/>
  <c r="K7" i="6"/>
  <c r="J7" i="6"/>
  <c r="I11" i="6"/>
  <c r="G70" i="6"/>
  <c r="C68" i="10" s="1"/>
  <c r="I19" i="6"/>
  <c r="J17" i="6"/>
  <c r="K17" i="6"/>
  <c r="K22" i="6"/>
  <c r="J22" i="6"/>
  <c r="L19" i="7"/>
  <c r="N19" i="7" s="1"/>
  <c r="L12" i="7"/>
  <c r="N12" i="7" s="1"/>
  <c r="L24" i="7"/>
  <c r="N24" i="7" s="1"/>
  <c r="L10" i="7"/>
  <c r="N10" i="7" s="1"/>
  <c r="L23" i="7"/>
  <c r="N23" i="7" s="1"/>
  <c r="L22" i="7"/>
  <c r="N22" i="7" s="1"/>
  <c r="L21" i="7"/>
  <c r="N21" i="7" s="1"/>
  <c r="L25" i="7"/>
  <c r="N25" i="7" s="1"/>
  <c r="F71" i="10"/>
  <c r="L26" i="7"/>
  <c r="N26" i="7" s="1"/>
  <c r="L28" i="6"/>
  <c r="N27" i="6"/>
  <c r="J50" i="7"/>
  <c r="J51" i="7" s="1"/>
  <c r="K50" i="7"/>
  <c r="K51" i="7" s="1"/>
  <c r="I51" i="7"/>
  <c r="L69" i="10" l="1"/>
  <c r="I69" i="10"/>
  <c r="N56" i="10"/>
  <c r="I78" i="10"/>
  <c r="B69" i="10"/>
  <c r="E69" i="10"/>
  <c r="K69" i="10"/>
  <c r="H69" i="10"/>
  <c r="J21" i="6"/>
  <c r="K21" i="6"/>
  <c r="N50" i="7"/>
  <c r="D88" i="10"/>
  <c r="E91" i="10"/>
  <c r="E80" i="10"/>
  <c r="J13" i="6"/>
  <c r="L13" i="6" s="1"/>
  <c r="N13" i="6" s="1"/>
  <c r="I20" i="6"/>
  <c r="I70" i="6" s="1"/>
  <c r="L10" i="6"/>
  <c r="N10" i="6" s="1"/>
  <c r="L18" i="6"/>
  <c r="N18" i="6" s="1"/>
  <c r="L17" i="6"/>
  <c r="N17" i="6" s="1"/>
  <c r="L7" i="6"/>
  <c r="N7" i="6" s="1"/>
  <c r="J15" i="6"/>
  <c r="K15" i="6"/>
  <c r="J12" i="6"/>
  <c r="K12" i="6"/>
  <c r="J11" i="6"/>
  <c r="K11" i="6"/>
  <c r="K6" i="6"/>
  <c r="J6" i="6"/>
  <c r="L22" i="6"/>
  <c r="N22" i="6" s="1"/>
  <c r="J19" i="6"/>
  <c r="K19" i="6"/>
  <c r="N28" i="6"/>
  <c r="G88" i="10"/>
  <c r="L50" i="7"/>
  <c r="L51" i="7" s="1"/>
  <c r="N68" i="10" l="1"/>
  <c r="R68" i="10" s="1"/>
  <c r="S56" i="10"/>
  <c r="R56" i="10"/>
  <c r="S39" i="10"/>
  <c r="L21" i="6"/>
  <c r="N21" i="6" s="1"/>
  <c r="O69" i="10"/>
  <c r="L19" i="6"/>
  <c r="N19" i="6" s="1"/>
  <c r="E81" i="10"/>
  <c r="E79" i="10"/>
  <c r="E78" i="10"/>
  <c r="K20" i="6"/>
  <c r="K70" i="6" s="1"/>
  <c r="J20" i="6"/>
  <c r="L6" i="6"/>
  <c r="N6" i="6" s="1"/>
  <c r="L11" i="6"/>
  <c r="N11" i="6" s="1"/>
  <c r="L15" i="6"/>
  <c r="N15" i="6" s="1"/>
  <c r="L12" i="6"/>
  <c r="N12" i="6" s="1"/>
  <c r="E82" i="10" l="1"/>
  <c r="L20" i="6"/>
  <c r="N20" i="6" s="1"/>
  <c r="N70" i="6" s="1"/>
  <c r="C71" i="10"/>
  <c r="F69" i="10"/>
  <c r="C69" i="10"/>
  <c r="I82" i="10"/>
  <c r="J70" i="6"/>
  <c r="H82" i="10" s="1"/>
  <c r="L70" i="6" l="1"/>
  <c r="J78" i="10"/>
  <c r="B87" i="10" s="1"/>
  <c r="B91" i="10" s="1"/>
  <c r="G91" i="10" s="1"/>
  <c r="G87" i="10" l="1"/>
  <c r="J82" i="10"/>
  <c r="K80" i="10" l="1"/>
  <c r="L80" i="10" s="1"/>
  <c r="K79" i="10"/>
  <c r="L79" i="10" s="1"/>
  <c r="K78" i="10"/>
  <c r="K81" i="10"/>
  <c r="L81" i="10" s="1"/>
  <c r="D87" i="10"/>
  <c r="D91" i="10" s="1"/>
  <c r="K82" i="10" l="1"/>
  <c r="L78" i="10"/>
  <c r="L8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tc={694E1051-BE05-440E-AF43-1C383EE21B2A}</author>
    <author>tc={75DDAA75-A926-41E8-8AC9-E1C54EA60800}</author>
    <author>tc={61E7F833-AD2C-452B-9337-1ACB6A1A1616}</author>
    <author>tc={F902BD5E-DF80-4ABA-89F5-B1295474A107}</author>
    <author>tc={E25DB071-64B1-4E8B-8CF6-968EBA865E51}</author>
    <author>tc={4B369341-19B8-4562-9E04-6908C557D9E2}</author>
    <author>tc={0DB09BA0-1CCB-4E39-A1B0-E8E96EC0F61E}</author>
    <author>tc={18312AB5-0D59-44A3-B962-A1C3D5E450A2}</author>
    <author>tc={7A48A988-CF03-4F5A-A33F-7DBFFF759B3A}</author>
    <author>tc={BB393FA5-7353-466B-B60F-4281CD967C55}</author>
    <author>tc={0F0DE727-E6A1-463F-8B65-67ADDE6BE6CD}</author>
    <author>tc={D3FEDEDB-8FAD-4CF9-A4C8-4BEE3586B0A7}</author>
    <author>tc={5D4358DB-F66F-4565-BD3F-45E08340A3C8}</author>
    <author>tc={329CE496-641B-4452-8BAB-43FC5DE6ACFC}</author>
    <author>tc={38B8A48D-B3B2-4487-A6C1-78DCF42328B2}</author>
    <author>tc={3350008B-0825-4215-B80D-0C13C0AF0DD6}</author>
    <author>tc={603AE70E-07D0-48CA-836B-4CA671B5FBDC}</author>
  </authors>
  <commentList>
    <comment ref="Q7" authorId="0" shapeId="0" xr:uid="{694E1051-BE05-440E-AF43-1C383EE21B2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Technorm #48401 | 387.50$
#48400 | 1950$</t>
      </text>
    </comment>
    <comment ref="Q8" authorId="1" shapeId="0" xr:uid="{75DDAA75-A926-41E8-8AC9-E1C54EA608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Technorm #48723 | 1540$
WSP #956725 | 1445$
#956719 | 1760$
#956709 | 5100$
#956717 | 2390$</t>
      </text>
    </comment>
    <comment ref="Q9" authorId="2" shapeId="0" xr:uid="{61E7F833-AD2C-452B-9337-1ACB6A1A161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Epigraphe #70 | 16812.50$
WSP #962677 | 7855$
#962664 | 14775$
#962665 | 8160$
#962674 | 8790$</t>
      </text>
    </comment>
    <comment ref="Q10" authorId="3" shapeId="0" xr:uid="{F902BD5E-DF80-4ABA-89F5-B1295474A10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Charles Ladrie #5318 | 2100$ (Reçu en sept 2021)
Technorm #49431 | 745$
Epigraphe #75 | 19315$
WSP #974769 | 5400$
#974713 | 6900$
#974723 | 7200$
#974760 | 3600$
Reçu en juin 2021
#969189 | 6650$
#969181 | 8450$
#969167 | 16425$
#969202 | 6100$</t>
      </text>
    </comment>
    <comment ref="Q11" authorId="4" shapeId="0" xr:uid="{E25DB071-64B1-4E8B-8CF6-968EBA865E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Ascension #2101004 | 323.75$
SoftDB #ING-MTL-21-120 | 4430$
Technorm #49821 | 1333$
Epigraphe #80 | 23211.25
EXp #598424 | 6480$</t>
      </text>
    </comment>
    <comment ref="Q12" authorId="5" shapeId="0" xr:uid="{4B369341-19B8-4562-9E04-6908C557D9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Technorm #50267 | 1138.75$
Epigraphe #82 | 15100$
#983735 | 8625$
#983755 | 1800$
#983746 | 1800$
#983741 | 1800$</t>
      </text>
    </comment>
    <comment ref="Q13" authorId="6" shapeId="0" xr:uid="{0DB09BA0-1CCB-4E39-A1B0-E8E96EC0F6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Epigraphe #89 | 2282.50$
EXP #608406 | 4230$
WSP #989542 | 3600$
#991927 | 2700$
#989541 | 1725$</t>
      </text>
    </comment>
    <comment ref="Q14" authorId="7" shapeId="0" xr:uid="{18312AB5-0D59-44A3-B962-A1C3D5E450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Ascension #2104007 | 9750$
Technorm #51021 | 3337.50$
EXP #612631 | 6105$
WSP #998261 | 2700$
#998252 | 1800$</t>
      </text>
    </comment>
    <comment ref="Q15" authorId="8" shapeId="0" xr:uid="{7A48A988-CF03-4F5A-A33F-7DBFFF759B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Ascension #2105005 | 416.25$
EXP #618856 | 885$</t>
      </text>
    </comment>
    <comment ref="Q18" authorId="9" shapeId="0" xr:uid="{BB393FA5-7353-466B-B60F-4281CD967C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WSP #1033204 | 1800$
#1033803 | 4506.25$
#1033207 | 1800$</t>
      </text>
    </comment>
    <comment ref="Q19" authorId="10" shapeId="0" xr:uid="{0F0DE727-E6A1-463F-8B65-67ADDE6BE6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WSP #1041074 | 2112.50$</t>
      </text>
    </comment>
    <comment ref="Q20" authorId="11" shapeId="0" xr:uid="{D3FEDEDB-8FAD-4CF9-A4C8-4BEE3586B0A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Technorm #49122 | 811.25$
#49121 | 5850$
EXP #636840 | 2380$
WSP #1048149 | 1380$</t>
      </text>
    </comment>
    <comment ref="Q21" authorId="12" shapeId="0" xr:uid="{5D4358DB-F66F-4565-BD3F-45E08340A3C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Technorm #53333 | 33.75$
WSP #1067086 | 1380$
#1057290 | 2112.50$
#1057287 | 690$</t>
      </text>
    </comment>
    <comment ref="Q23" authorId="13" shapeId="0" xr:uid="{329CE496-641B-4452-8BAB-43FC5DE6ACF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Ascension: #22011 | 370$
Technorm: #54149 | 165$</t>
      </text>
    </comment>
    <comment ref="Q24" authorId="14" shapeId="0" xr:uid="{38B8A48D-B3B2-4487-A6C1-78DCF42328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WSP: #1085756 | 1380$
#1085754 | 2800$
#1085750 | 2800$
#1095364 | 3963.75$</t>
      </text>
    </comment>
    <comment ref="Q25" authorId="15" shapeId="0" xr:uid="{3350008B-0825-4215-B80D-0C13C0AF0D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Technorm: 55012 | 165$
WSp: #1102666 | 1380$</t>
      </text>
    </comment>
    <comment ref="Q26" authorId="16" shapeId="0" xr:uid="{603AE70E-07D0-48CA-836B-4CA671B5FB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Ascension: 22037 | 185$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tc={0C9EA13D-7759-4A9C-B1C5-61F9F470DC9C}</author>
  </authors>
  <commentList>
    <comment ref="H10" authorId="0" shapeId="0" xr:uid="{0C9EA13D-7759-4A9C-B1C5-61F9F470DC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Facture EXP #598424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tc={0111A6B1-020D-4873-945A-29686573D96A}</author>
    <author>tc={BAB24C54-BC6D-49D8-BD31-B9A33BD72391}</author>
    <author>tc={2F10E797-7A35-4523-9C05-A87467E4B2D0}</author>
    <author>tc={2D6F96CF-EBA1-47EC-B170-ADBD84AA23C5}</author>
    <author>tc={E09C5097-04E1-477A-9D83-DBB666926DE5}</author>
    <author>tc={41C98CD9-C549-44B9-80CB-C421571BF109}</author>
    <author>tc={F7DACC08-E09C-449C-A00D-78770CD2E306}</author>
    <author>tc={A0180FEC-EAC1-448D-A7F2-FAEC057C015F}</author>
  </authors>
  <commentList>
    <comment ref="G7" authorId="0" shapeId="0" xr:uid="{0111A6B1-020D-4873-945A-29686573D9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Ajustement rétroactif des salaires 2499.88</t>
      </text>
    </comment>
    <comment ref="H7" authorId="1" shapeId="0" xr:uid="{BAB24C54-BC6D-49D8-BD31-B9A33BD7239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#20-2970
Ajustemen rétroactif des salaires pour facture 20-2945</t>
      </text>
    </comment>
    <comment ref="B9" authorId="2" shapeId="0" xr:uid="{2F10E797-7A35-4523-9C05-A87467E4B2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la période du 26 au 2 janvier, leurs bureaux étaient fermés.</t>
      </text>
    </comment>
    <comment ref="H20" authorId="3" shapeId="0" xr:uid="{2D6F96CF-EBA1-47EC-B170-ADBD84AA23C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déplacement;
Gaz: 274.99$
Location auto: 473.65$
Frais repas: 47.69$</t>
      </text>
    </comment>
    <comment ref="H21" authorId="4" shapeId="0" xr:uid="{E09C5097-04E1-477A-9D83-DBB666926D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déplacement</t>
      </text>
    </comment>
    <comment ref="H23" authorId="5" shapeId="0" xr:uid="{41C98CD9-C549-44B9-80CB-C421571BF1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Location: 82.39*4=329.56$
Carburant: 204.51$
Repas: 41.52$</t>
      </text>
    </comment>
    <comment ref="H24" authorId="6" shapeId="0" xr:uid="{F7DACC08-E09C-449C-A00D-78770CD2E3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déplacement: 495.95$
Essence: 336.66$
Frais de repas: 68.36 &amp; 60.76$</t>
      </text>
    </comment>
    <comment ref="H27" authorId="7" shapeId="0" xr:uid="{A0180FEC-EAC1-448D-A7F2-FAEC057C01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courrier: 9.75$
Frais de déplac: 1660.41$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tc={E7B1817A-1CE1-4BBA-9D17-A670586C8C83}</author>
    <author>tc={F83AD50C-8F4A-465E-9730-E59F0521235F}</author>
    <author>tc={E6FAF4C1-A39F-4DE5-B2DF-38B271D86C13}</author>
    <author>tc={93631BB8-1552-4253-935B-736BFFDC1F77}</author>
    <author>tc={7F25045E-159E-4B9A-B40D-5034639B75FA}</author>
    <author>tc={8CEF09A5-714E-4F0C-98C3-68A6640D2F8A}</author>
  </authors>
  <commentList>
    <comment ref="H8" authorId="0" shapeId="0" xr:uid="{E7B1817A-1CE1-4BBA-9D17-A670586C8C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Factures WSP pour octobre reçu après envoi de la facture client 10695$</t>
      </text>
    </comment>
    <comment ref="H18" authorId="1" shapeId="0" xr:uid="{F83AD50C-8F4A-465E-9730-E59F05212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déplacement : 82$ -&gt; 70.52$ remboursable
Impression: 276$
Messagerie: 20.75
Sous-traitance: 8584.25$</t>
      </text>
    </comment>
    <comment ref="H20" authorId="2" shapeId="0" xr:uid="{E6FAF4C1-A39F-4DE5-B2DF-38B271D86C1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déplacement: 31.82$
Frais impression: 178.70$
Frais de messagerie: 6.50$</t>
      </text>
    </comment>
    <comment ref="H21" authorId="3" shapeId="0" xr:uid="{93631BB8-1552-4253-935B-736BFFDC1F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FdD = 75.68
Frais divers: 104.27
Impressions: 364.55</t>
      </text>
    </comment>
    <comment ref="H23" authorId="4" shapeId="0" xr:uid="{7F25045E-159E-4B9A-B40D-5034639B75F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Dépla (KM): 32.68$
Repas: 40$</t>
      </text>
    </comment>
    <comment ref="H24" authorId="5" shapeId="0" xr:uid="{8CEF09A5-714E-4F0C-98C3-68A6640D2F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kilométrageÈ 83.42$
Frais d'impression: 683.10$
Frais de messagerie: 58.17$
Frais de license pour photographie: 127.29$</t>
      </text>
    </comment>
  </commentList>
</comments>
</file>

<file path=xl/sharedStrings.xml><?xml version="1.0" encoding="utf-8"?>
<sst xmlns="http://schemas.openxmlformats.org/spreadsheetml/2006/main" count="1160" uniqueCount="569">
  <si>
    <t>Date</t>
  </si>
  <si>
    <t>facture</t>
  </si>
  <si>
    <t>Sous-TOTAL</t>
  </si>
  <si>
    <t>TPS</t>
  </si>
  <si>
    <t>TVQ</t>
  </si>
  <si>
    <t>TOTAL</t>
  </si>
  <si>
    <t>période</t>
  </si>
  <si>
    <t>Honoraires associés</t>
  </si>
  <si>
    <t>Honoraires employés</t>
  </si>
  <si>
    <t>payé</t>
  </si>
  <si>
    <t>Total</t>
  </si>
  <si>
    <t>Partage</t>
  </si>
  <si>
    <t>DEP</t>
  </si>
  <si>
    <t>HONOR</t>
  </si>
  <si>
    <t>totaux</t>
  </si>
  <si>
    <t>DES HRES EMPLOY</t>
  </si>
  <si>
    <t>DES DEP TOTALES</t>
  </si>
  <si>
    <t>DES HRES ASSOCIES</t>
  </si>
  <si>
    <t>HEURES</t>
  </si>
  <si>
    <t>Employés</t>
  </si>
  <si>
    <t>% partic</t>
  </si>
  <si>
    <t>Retraits $</t>
  </si>
  <si>
    <t>Facture au client</t>
  </si>
  <si>
    <t>Profit</t>
  </si>
  <si>
    <t>Total avant taxes</t>
  </si>
  <si>
    <t>TPS 5%</t>
  </si>
  <si>
    <t>TVQ 9,975%</t>
  </si>
  <si>
    <t>Heures Associés</t>
  </si>
  <si>
    <t>Heures Employés</t>
  </si>
  <si>
    <t>Frais refacturables</t>
  </si>
  <si>
    <t>% d'avancement</t>
  </si>
  <si>
    <t>dû</t>
  </si>
  <si>
    <t>Ratio par période</t>
  </si>
  <si>
    <t>Montant tâche</t>
  </si>
  <si>
    <t>HONORAIRES SONT À UN TAUX DE 1.9</t>
  </si>
  <si>
    <t>001 - Conception</t>
  </si>
  <si>
    <t>Mai à Juillet</t>
  </si>
  <si>
    <t>Août</t>
  </si>
  <si>
    <t>Coûtant</t>
  </si>
  <si>
    <t>Dépenses</t>
  </si>
  <si>
    <t>Dépenses+coûtant</t>
  </si>
  <si>
    <t>Facture client</t>
  </si>
  <si>
    <t>Ratio Global</t>
  </si>
  <si>
    <t>1er mai au 1er août 2020</t>
  </si>
  <si>
    <t>20-2926</t>
  </si>
  <si>
    <t>2 au 29 août 2020</t>
  </si>
  <si>
    <t>20-2927</t>
  </si>
  <si>
    <t>17-09-2020</t>
  </si>
  <si>
    <t>F3769</t>
  </si>
  <si>
    <t>F3770</t>
  </si>
  <si>
    <t>au 29 août 2020</t>
  </si>
  <si>
    <t>P20-021-1</t>
  </si>
  <si>
    <t>Septembre</t>
  </si>
  <si>
    <t>au 3 octobre 2020</t>
  </si>
  <si>
    <t>P20-021-2</t>
  </si>
  <si>
    <t>30 août au 3 octobre 2020</t>
  </si>
  <si>
    <t>F3800</t>
  </si>
  <si>
    <t>23-09-2020</t>
  </si>
  <si>
    <t>Mai au 29 août 2020</t>
  </si>
  <si>
    <t>200117-1</t>
  </si>
  <si>
    <t>30 août au 3 octbre 2020</t>
  </si>
  <si>
    <t>20-2945</t>
  </si>
  <si>
    <t>16-10-2020</t>
  </si>
  <si>
    <t>200117-2</t>
  </si>
  <si>
    <t>Coûtant PRDI</t>
  </si>
  <si>
    <t>Octobre</t>
  </si>
  <si>
    <t>F3830</t>
  </si>
  <si>
    <t>4 au 31 octobre 2020</t>
  </si>
  <si>
    <t>31-10-2020</t>
  </si>
  <si>
    <t>1er mai au 1 août 2020</t>
  </si>
  <si>
    <t>au 31 otobre 2020</t>
  </si>
  <si>
    <t>P20-021-3</t>
  </si>
  <si>
    <t>20-2968</t>
  </si>
  <si>
    <t>200117-3</t>
  </si>
  <si>
    <t>12-11-2020</t>
  </si>
  <si>
    <t>Novembre</t>
  </si>
  <si>
    <t>au 28 novembre 2020</t>
  </si>
  <si>
    <t>P20-021-4</t>
  </si>
  <si>
    <t>1er au 28 novembre 2020</t>
  </si>
  <si>
    <t>F3879</t>
  </si>
  <si>
    <t>20-2984</t>
  </si>
  <si>
    <t>200117-4</t>
  </si>
  <si>
    <t>décembre</t>
  </si>
  <si>
    <t>au 2 janvier 2021</t>
  </si>
  <si>
    <t>P20-021-5</t>
  </si>
  <si>
    <t>29 novembre au 2 janvier 2021</t>
  </si>
  <si>
    <t>F3922</t>
  </si>
  <si>
    <t>29 novembre au 26 décembre 2020</t>
  </si>
  <si>
    <t>20-3008</t>
  </si>
  <si>
    <t>200117-5</t>
  </si>
  <si>
    <t>29 nov au 2 janvier 2021</t>
  </si>
  <si>
    <t>20-01-2021</t>
  </si>
  <si>
    <t>08-12-2020</t>
  </si>
  <si>
    <t>Payé</t>
  </si>
  <si>
    <t>Solde dû</t>
  </si>
  <si>
    <t>3 au 30 janvier 2021</t>
  </si>
  <si>
    <t>F3931</t>
  </si>
  <si>
    <t>janvier</t>
  </si>
  <si>
    <t>au 30 janvier 2021</t>
  </si>
  <si>
    <t>P20-021-6</t>
  </si>
  <si>
    <t>16-02-2021</t>
  </si>
  <si>
    <t>200117-6</t>
  </si>
  <si>
    <t>21-3029</t>
  </si>
  <si>
    <t>février</t>
  </si>
  <si>
    <t>31 janvier au 27 février 2021</t>
  </si>
  <si>
    <t>P20-021-7</t>
  </si>
  <si>
    <t>21-3055</t>
  </si>
  <si>
    <t>F3974</t>
  </si>
  <si>
    <t>% prévu par bureau</t>
  </si>
  <si>
    <t>mars</t>
  </si>
  <si>
    <t>28 février au 3 avril 2021</t>
  </si>
  <si>
    <t>P20-021-8</t>
  </si>
  <si>
    <t>21-3066</t>
  </si>
  <si>
    <t>F4006</t>
  </si>
  <si>
    <t>avril</t>
  </si>
  <si>
    <t>4 avril au 1er mai 2021</t>
  </si>
  <si>
    <t>F4031</t>
  </si>
  <si>
    <t>21-3116</t>
  </si>
  <si>
    <t>mai</t>
  </si>
  <si>
    <t>2 au 29 mai 2021</t>
  </si>
  <si>
    <t>21-3118</t>
  </si>
  <si>
    <t>F4056</t>
  </si>
  <si>
    <t>juin</t>
  </si>
  <si>
    <t>PRAA-2021-0290</t>
  </si>
  <si>
    <t>30 mai au 26 juin 2021</t>
  </si>
  <si>
    <t>21-3147</t>
  </si>
  <si>
    <t>F4108</t>
  </si>
  <si>
    <t>juillet</t>
  </si>
  <si>
    <t>PRAA-2021-0560</t>
  </si>
  <si>
    <t>27 juin au 31 juillet 2021</t>
  </si>
  <si>
    <t>21-3197</t>
  </si>
  <si>
    <t>F4120</t>
  </si>
  <si>
    <t>PRAA-2021-0760</t>
  </si>
  <si>
    <t>1er au 29 août 2021</t>
  </si>
  <si>
    <t>21-3222</t>
  </si>
  <si>
    <t>F4142</t>
  </si>
  <si>
    <t>1er février au 30 août 2021</t>
  </si>
  <si>
    <t>septembre</t>
  </si>
  <si>
    <t>PRAA-2021-0894</t>
  </si>
  <si>
    <t>30 août au 2 octobre 2021</t>
  </si>
  <si>
    <t>F4181</t>
  </si>
  <si>
    <t>21-3253</t>
  </si>
  <si>
    <t>01-09-2021</t>
  </si>
  <si>
    <t>PRAA-2021-1050</t>
  </si>
  <si>
    <t>3 au 30 octobre 2021</t>
  </si>
  <si>
    <t>21-3288</t>
  </si>
  <si>
    <t>F4210</t>
  </si>
  <si>
    <t>novembre</t>
  </si>
  <si>
    <t>PRAA-2021-1209</t>
  </si>
  <si>
    <t>31 octobre au 27 novembre 2021</t>
  </si>
  <si>
    <t>21-3332</t>
  </si>
  <si>
    <t>F4227</t>
  </si>
  <si>
    <t>PRAA-2022-0070</t>
  </si>
  <si>
    <t>28 nov 2021 au 25 déc 2021</t>
  </si>
  <si>
    <t>21-3384</t>
  </si>
  <si>
    <t>F4259</t>
  </si>
  <si>
    <t xml:space="preserve">Date </t>
  </si>
  <si>
    <t>Consultant</t>
  </si>
  <si>
    <t>Facture</t>
  </si>
  <si>
    <t xml:space="preserve">Mandat : </t>
  </si>
  <si>
    <t>Montant (avant taxes)</t>
  </si>
  <si>
    <t>12-01-2021</t>
  </si>
  <si>
    <t>02-12-2020</t>
  </si>
  <si>
    <t>29-01-2021</t>
  </si>
  <si>
    <t>12-03-2021</t>
  </si>
  <si>
    <t>30-11-2020</t>
  </si>
  <si>
    <t>Consultants</t>
  </si>
  <si>
    <t>26-01-2021</t>
  </si>
  <si>
    <t>11-05-2021</t>
  </si>
  <si>
    <t>26-04-2021</t>
  </si>
  <si>
    <t>28-02-2021</t>
  </si>
  <si>
    <t>30-01-2021</t>
  </si>
  <si>
    <t>22-12-2020</t>
  </si>
  <si>
    <t>31-03-2021</t>
  </si>
  <si>
    <t>08-09-2021</t>
  </si>
  <si>
    <t>20-04-2021</t>
  </si>
  <si>
    <t>21-05-2021</t>
  </si>
  <si>
    <t>23-03-2021</t>
  </si>
  <si>
    <t>28-10-2020</t>
  </si>
  <si>
    <t>24-11-2020</t>
  </si>
  <si>
    <t>22-02-2021</t>
  </si>
  <si>
    <t>19-03-2021</t>
  </si>
  <si>
    <t>14-04-2021</t>
  </si>
  <si>
    <t>24-08-2021</t>
  </si>
  <si>
    <t>25-08-2021</t>
  </si>
  <si>
    <t>18-10-2021</t>
  </si>
  <si>
    <t>20-09-2021</t>
  </si>
  <si>
    <t>15-12-2021</t>
  </si>
  <si>
    <t>18-11-2021</t>
  </si>
  <si>
    <t>16-12-2020</t>
  </si>
  <si>
    <t>ING-MTL-21-120</t>
  </si>
  <si>
    <t>31-10-2021</t>
  </si>
  <si>
    <t>07-10-2020</t>
  </si>
  <si>
    <t>30-10-2021</t>
  </si>
  <si>
    <t>14-09-2020</t>
  </si>
  <si>
    <t>23-02-2021</t>
  </si>
  <si>
    <t>22-04-2021</t>
  </si>
  <si>
    <t>30-11-2021</t>
  </si>
  <si>
    <t>28 nov 2021 au 1er jan 2022</t>
  </si>
  <si>
    <t>Total factures (associés+employés+dépenses)</t>
  </si>
  <si>
    <t>Associés</t>
  </si>
  <si>
    <t>PRAA-2022-0301</t>
  </si>
  <si>
    <t>PRAA-2022-0778</t>
  </si>
  <si>
    <t>PRAA-2022-0781</t>
  </si>
  <si>
    <t>2 au 29 janvier 2022</t>
  </si>
  <si>
    <t>F4301</t>
  </si>
  <si>
    <t>30 janvier au 26 février 2022</t>
  </si>
  <si>
    <t>F4329</t>
  </si>
  <si>
    <t>26 décembre 2021 au 29 janvier 2022</t>
  </si>
  <si>
    <t>14-02-2022</t>
  </si>
  <si>
    <t>22-02-2022</t>
  </si>
  <si>
    <t>01-03-2022</t>
  </si>
  <si>
    <t>27 février au 2 avril 2022</t>
  </si>
  <si>
    <t>22-3461</t>
  </si>
  <si>
    <t>22-3435</t>
  </si>
  <si>
    <t>22-3397</t>
  </si>
  <si>
    <t>F4353</t>
  </si>
  <si>
    <t>PRAA-2022-0928</t>
  </si>
  <si>
    <t>PRAA-2022-1169</t>
  </si>
  <si>
    <t>3 au 30 avril 2022</t>
  </si>
  <si>
    <t>F4390</t>
  </si>
  <si>
    <t>22-3492</t>
  </si>
  <si>
    <t>1er au 28 mai 2022</t>
  </si>
  <si>
    <t>22-3520</t>
  </si>
  <si>
    <t>26-05-2022</t>
  </si>
  <si>
    <t>31 août 2021 au 30 avril 2022</t>
  </si>
  <si>
    <t>13-05-2022</t>
  </si>
  <si>
    <t>30-05-2022</t>
  </si>
  <si>
    <t>21-04-2022</t>
  </si>
  <si>
    <t>31-03-2022</t>
  </si>
  <si>
    <t>Reçue en mai 2022</t>
  </si>
  <si>
    <t>F4444</t>
  </si>
  <si>
    <t>29-04-2022</t>
  </si>
  <si>
    <t>29 mai au 2 juillet</t>
  </si>
  <si>
    <t>22-3548</t>
  </si>
  <si>
    <t>29 mai au 2 juillet 2022</t>
  </si>
  <si>
    <t>F4445</t>
  </si>
  <si>
    <t>PRAA-2022-1351</t>
  </si>
  <si>
    <t>Payée</t>
  </si>
  <si>
    <t>20-06-2022</t>
  </si>
  <si>
    <t>Facture datée du 20 septembre 2021, reçue en mai 2022</t>
  </si>
  <si>
    <t>Facture datée du 15 décembre 2021, reçue en mai 2022</t>
  </si>
  <si>
    <t>Oui</t>
  </si>
  <si>
    <t>PRAA-2022-1584</t>
  </si>
  <si>
    <t>3 au 30 juillet 2022</t>
  </si>
  <si>
    <t>22-3596</t>
  </si>
  <si>
    <t>F4496</t>
  </si>
  <si>
    <t>28-07-2022</t>
  </si>
  <si>
    <t>31 juillet au 3 septembre 2022</t>
  </si>
  <si>
    <t>F4519</t>
  </si>
  <si>
    <t>22-3634</t>
  </si>
  <si>
    <t>31 juillet au 27 août 2022</t>
  </si>
  <si>
    <t>PRAA-2022-1717</t>
  </si>
  <si>
    <t>200117-7</t>
  </si>
  <si>
    <t>200117-8</t>
  </si>
  <si>
    <t>COÜTANT</t>
  </si>
  <si>
    <t>Moyenne part</t>
  </si>
  <si>
    <t>Période</t>
  </si>
  <si>
    <t>28 août au 1er octobre 2022</t>
  </si>
  <si>
    <t>22-3665</t>
  </si>
  <si>
    <t>PRAA-2022-1808</t>
  </si>
  <si>
    <t>4 septembre au 1er octobre 202</t>
  </si>
  <si>
    <t>F4539</t>
  </si>
  <si>
    <t>08-10-2020</t>
  </si>
  <si>
    <t>14-11-2022</t>
  </si>
  <si>
    <t>du 1er mai au 31 octobre 2022</t>
  </si>
  <si>
    <t>200117-9</t>
  </si>
  <si>
    <t>PRAA-2022-1980</t>
  </si>
  <si>
    <t>2 au 29 octobre 2022</t>
  </si>
  <si>
    <t>F4568</t>
  </si>
  <si>
    <t>22-3734</t>
  </si>
  <si>
    <t>du 30 octobre au 26 novembre 2022</t>
  </si>
  <si>
    <t>22-3749</t>
  </si>
  <si>
    <t>22-3795</t>
  </si>
  <si>
    <t>ajustement taux horaire</t>
  </si>
  <si>
    <t>13-09-2022</t>
  </si>
  <si>
    <t>04-11-2022</t>
  </si>
  <si>
    <t>18-11-2022</t>
  </si>
  <si>
    <t>05-12-2022</t>
  </si>
  <si>
    <t>PRAA-2022-2205</t>
  </si>
  <si>
    <t>30 octobre au 26 novembre 2022</t>
  </si>
  <si>
    <t>F4603</t>
  </si>
  <si>
    <t>26-01-2023</t>
  </si>
  <si>
    <t>27 novembre au 31 décembre 2022</t>
  </si>
  <si>
    <t>F4631</t>
  </si>
  <si>
    <t>du 27 novembre au 31 décembre 2022</t>
  </si>
  <si>
    <t>22-3799</t>
  </si>
  <si>
    <t>PRAA-2023-0043</t>
  </si>
  <si>
    <t>23-01-2023</t>
  </si>
  <si>
    <t>du 1er novembre au 31 décembre 2022</t>
  </si>
  <si>
    <t>200117-10</t>
  </si>
  <si>
    <t>30-08-2022</t>
  </si>
  <si>
    <t>30-09-2022</t>
  </si>
  <si>
    <t>29-11-2022</t>
  </si>
  <si>
    <t>21-12-2022</t>
  </si>
  <si>
    <t>1er au 28 janvier 2023</t>
  </si>
  <si>
    <t>PRAA-2023-0250</t>
  </si>
  <si>
    <t>23-3851</t>
  </si>
  <si>
    <t>F4643</t>
  </si>
  <si>
    <t>16-01-2023</t>
  </si>
  <si>
    <t>06-02-2023</t>
  </si>
  <si>
    <t>02-02-2023</t>
  </si>
  <si>
    <t>29 janvier au 25 février 2023</t>
  </si>
  <si>
    <t>23-3875</t>
  </si>
  <si>
    <t>14-03-2023</t>
  </si>
  <si>
    <t>PRAA-2023-0381</t>
  </si>
  <si>
    <t>F4676</t>
  </si>
  <si>
    <t>26 février au 1er avril 2023</t>
  </si>
  <si>
    <t>PRAA-2023-0489</t>
  </si>
  <si>
    <t>F4696</t>
  </si>
  <si>
    <t>23-3912</t>
  </si>
  <si>
    <t>03-04-2023</t>
  </si>
  <si>
    <t>01-05-2023</t>
  </si>
  <si>
    <t>2 au 29 avril 2023</t>
  </si>
  <si>
    <t>23-3953</t>
  </si>
  <si>
    <t>18-05-2023</t>
  </si>
  <si>
    <t>16-05-2023</t>
  </si>
  <si>
    <t>F4751</t>
  </si>
  <si>
    <t>02-06-2023</t>
  </si>
  <si>
    <t>14-06-2023</t>
  </si>
  <si>
    <t>30 avril au 3 juin 2023</t>
  </si>
  <si>
    <t>F4779</t>
  </si>
  <si>
    <t>23-3997</t>
  </si>
  <si>
    <t>06-07-2023</t>
  </si>
  <si>
    <t>07-07-2023</t>
  </si>
  <si>
    <t>13-07-2023</t>
  </si>
  <si>
    <t>12-07-2023</t>
  </si>
  <si>
    <t>4 juin au 1er juillet 2023</t>
  </si>
  <si>
    <t>F4822</t>
  </si>
  <si>
    <t>23-4034</t>
  </si>
  <si>
    <t>PRAA-2023-0718</t>
  </si>
  <si>
    <t>PRAA-2023-0851</t>
  </si>
  <si>
    <t>23-4080</t>
  </si>
  <si>
    <t>2 au 29 juillet 2023</t>
  </si>
  <si>
    <t>21-08-2023</t>
  </si>
  <si>
    <t>22-08-2023</t>
  </si>
  <si>
    <t>F4902</t>
  </si>
  <si>
    <t>25-08-2023</t>
  </si>
  <si>
    <t>11-09-2023</t>
  </si>
  <si>
    <t>01-09-2023</t>
  </si>
  <si>
    <t>23-4128</t>
  </si>
  <si>
    <t>30 juillet au 2 septembre 2023</t>
  </si>
  <si>
    <t>F4941</t>
  </si>
  <si>
    <t>21-09-2023</t>
  </si>
  <si>
    <t>02-10-2023</t>
  </si>
  <si>
    <t>200117-11</t>
  </si>
  <si>
    <t>1er janvier au 31 juillet 2023</t>
  </si>
  <si>
    <t>Granby 2022</t>
  </si>
  <si>
    <t>Granby au 3 juin 2023</t>
  </si>
  <si>
    <t>PRAA-2023-1262</t>
  </si>
  <si>
    <t>PRAA-2023-1259</t>
  </si>
  <si>
    <t>PRAA-2023-1260</t>
  </si>
  <si>
    <t>PRAA-2023-1442</t>
  </si>
  <si>
    <t>PRAA-2023-1261</t>
  </si>
  <si>
    <t>30-09-2023</t>
  </si>
  <si>
    <t>26-10-2023</t>
  </si>
  <si>
    <t>1er août au 30 septembre 2023</t>
  </si>
  <si>
    <t>200117-12</t>
  </si>
  <si>
    <t>3 au 30 septembre 2023</t>
  </si>
  <si>
    <t>PRAA-2023-1531</t>
  </si>
  <si>
    <t>23-4167</t>
  </si>
  <si>
    <t>18-10-2023</t>
  </si>
  <si>
    <t>F4972</t>
  </si>
  <si>
    <t>24-10-2023</t>
  </si>
  <si>
    <t>1er au 28 octobre 2023</t>
  </si>
  <si>
    <t>PRAA-2023-1738</t>
  </si>
  <si>
    <t>09-11-2023</t>
  </si>
  <si>
    <t>23-4219</t>
  </si>
  <si>
    <t>30-11-2023</t>
  </si>
  <si>
    <t>F5014</t>
  </si>
  <si>
    <t>PRAA-2023-1919</t>
  </si>
  <si>
    <t>29 octobre au 2 décembre 2023</t>
  </si>
  <si>
    <t>23-4283</t>
  </si>
  <si>
    <t>21-12-2023</t>
  </si>
  <si>
    <t>F5058</t>
  </si>
  <si>
    <t>04-12-2023</t>
  </si>
  <si>
    <t>Magog</t>
  </si>
  <si>
    <t>31-12-2023</t>
  </si>
  <si>
    <t>1er octobre au 31 décembre 2023</t>
  </si>
  <si>
    <t>200117-13</t>
  </si>
  <si>
    <t>PRAA-2024-0097</t>
  </si>
  <si>
    <t>3 au 31 décembre 2023</t>
  </si>
  <si>
    <t>F5087</t>
  </si>
  <si>
    <t>23-4336</t>
  </si>
  <si>
    <t>PRAA-2024-0259</t>
  </si>
  <si>
    <t>au 31 janvier 2024</t>
  </si>
  <si>
    <t>au 29 février 2024</t>
  </si>
  <si>
    <t>au 31 mars 2024</t>
  </si>
  <si>
    <t>PRAA-2024-0367</t>
  </si>
  <si>
    <t>PRAA-2024-0501</t>
  </si>
  <si>
    <t>24-4394</t>
  </si>
  <si>
    <t>24-4439</t>
  </si>
  <si>
    <t>24-4497</t>
  </si>
  <si>
    <t>F5103</t>
  </si>
  <si>
    <t>F5134</t>
  </si>
  <si>
    <t>F5162</t>
  </si>
  <si>
    <t>29-02-2024</t>
  </si>
  <si>
    <t>11-04-2024</t>
  </si>
  <si>
    <t>28-03-2024</t>
  </si>
  <si>
    <t>01-04-2024</t>
  </si>
  <si>
    <t>au 30 avril 2024</t>
  </si>
  <si>
    <t>au 31 mai 2024</t>
  </si>
  <si>
    <t>au 30 juin 2024</t>
  </si>
  <si>
    <t>PRAA-2024-0844</t>
  </si>
  <si>
    <t>PRAA-2024-0971</t>
  </si>
  <si>
    <t>PRAA-2024-1104</t>
  </si>
  <si>
    <t>10-05-2024</t>
  </si>
  <si>
    <t>200117-14</t>
  </si>
  <si>
    <t>24-4562</t>
  </si>
  <si>
    <t>24-4639</t>
  </si>
  <si>
    <t>24-4698</t>
  </si>
  <si>
    <t>F5205</t>
  </si>
  <si>
    <t>F5250</t>
  </si>
  <si>
    <t>F5306</t>
  </si>
  <si>
    <t>30-06-2024</t>
  </si>
  <si>
    <t>24-05-2024</t>
  </si>
  <si>
    <t>28-06-2024</t>
  </si>
  <si>
    <t>03-05-2024</t>
  </si>
  <si>
    <t>03-06-2024</t>
  </si>
  <si>
    <t>au 31 juillet 2024</t>
  </si>
  <si>
    <t>au 31 aout 2024</t>
  </si>
  <si>
    <t>au 30 septembre 2024</t>
  </si>
  <si>
    <t>200117-15</t>
  </si>
  <si>
    <t>200117-16</t>
  </si>
  <si>
    <t>au 31 aout 2024 - dépenses</t>
  </si>
  <si>
    <t>18-09-2024</t>
  </si>
  <si>
    <t>18-10-2024</t>
  </si>
  <si>
    <t>PRAA-2024-1312</t>
  </si>
  <si>
    <t>PRAA-2024-1518</t>
  </si>
  <si>
    <t>PRAA-2024-1758</t>
  </si>
  <si>
    <t>F5372</t>
  </si>
  <si>
    <t>F5388</t>
  </si>
  <si>
    <t>F5445</t>
  </si>
  <si>
    <t>24-4808</t>
  </si>
  <si>
    <t>24-4751</t>
  </si>
  <si>
    <t>27-09-2024</t>
  </si>
  <si>
    <t>13-08-2024</t>
  </si>
  <si>
    <t>06-09-2024</t>
  </si>
  <si>
    <t>11-10-2024</t>
  </si>
  <si>
    <t>24-4828</t>
  </si>
  <si>
    <t>23-10-2024</t>
  </si>
  <si>
    <t>Granby</t>
  </si>
  <si>
    <t>Coaticook</t>
  </si>
  <si>
    <t>Sherbrooke</t>
  </si>
  <si>
    <t>27-11-2024</t>
  </si>
  <si>
    <t>au 30 novembre 2024</t>
  </si>
  <si>
    <t>200117-17</t>
  </si>
  <si>
    <t>au 31 décembre 2024</t>
  </si>
  <si>
    <t>au 31 octobre 2024</t>
  </si>
  <si>
    <t>PRAA-2024-1944</t>
  </si>
  <si>
    <t>PRAA-2024-2143</t>
  </si>
  <si>
    <t>PRAA-2025-0032</t>
  </si>
  <si>
    <t>24-4891</t>
  </si>
  <si>
    <t>24-4949</t>
  </si>
  <si>
    <t>F5555</t>
  </si>
  <si>
    <t>F5512</t>
  </si>
  <si>
    <t>04-12-2024</t>
  </si>
  <si>
    <t>28-10-2024</t>
  </si>
  <si>
    <t>24-5011</t>
  </si>
  <si>
    <t>F5578</t>
  </si>
  <si>
    <t>au 31 janvier 2025</t>
  </si>
  <si>
    <t>au 28 février 2025</t>
  </si>
  <si>
    <t>au 31 mars 2025</t>
  </si>
  <si>
    <t>PRAA-2025-0268</t>
  </si>
  <si>
    <t>PRAA-2025-0620</t>
  </si>
  <si>
    <t>PRAA-2025-0856</t>
  </si>
  <si>
    <t>25-5062</t>
  </si>
  <si>
    <t>25-5109</t>
  </si>
  <si>
    <t>F5625</t>
  </si>
  <si>
    <t>F5657</t>
  </si>
  <si>
    <t>F5686</t>
  </si>
  <si>
    <t>11-03-2025</t>
  </si>
  <si>
    <t>31-03-2025</t>
  </si>
  <si>
    <t>28-01-2025</t>
  </si>
  <si>
    <t>25-5259</t>
  </si>
  <si>
    <t>au 30 avril 2025</t>
  </si>
  <si>
    <t>au 31 mai 2025</t>
  </si>
  <si>
    <t>au 30 juin 2025</t>
  </si>
  <si>
    <t>PRAA-2025-1000</t>
  </si>
  <si>
    <t>PRAA-2025-1290</t>
  </si>
  <si>
    <t>PRAA-2025-1567</t>
  </si>
  <si>
    <t>F5729</t>
  </si>
  <si>
    <t>F5772</t>
  </si>
  <si>
    <t>F5824</t>
  </si>
  <si>
    <t>13-06-2025</t>
  </si>
  <si>
    <t>au 28 juin 2025</t>
  </si>
  <si>
    <t>25-5315</t>
  </si>
  <si>
    <t>25-5374</t>
  </si>
  <si>
    <t>au 31 aout 2025</t>
  </si>
  <si>
    <t>200117-18</t>
  </si>
  <si>
    <t>au 31 juillet 2025</t>
  </si>
  <si>
    <t>au 30 septembre 2025</t>
  </si>
  <si>
    <t>PRAA-2025-1788</t>
  </si>
  <si>
    <t>PRAA-2025-2195</t>
  </si>
  <si>
    <t>PRAA-2025-1973</t>
  </si>
  <si>
    <t>25-5423</t>
  </si>
  <si>
    <t>25-5469</t>
  </si>
  <si>
    <t>au 30 aout 2025</t>
  </si>
  <si>
    <t>25-5529</t>
  </si>
  <si>
    <t>au 27 septembre 2025</t>
  </si>
  <si>
    <t>F5899</t>
  </si>
  <si>
    <t>F5938</t>
  </si>
  <si>
    <t>F5974</t>
  </si>
  <si>
    <t>Facturation Société A | Société B | Société C</t>
  </si>
  <si>
    <t>Société C</t>
  </si>
  <si>
    <t>Coûtant Société C</t>
  </si>
  <si>
    <t>Société B</t>
  </si>
  <si>
    <t>Société A</t>
  </si>
  <si>
    <t>Projet A</t>
  </si>
  <si>
    <t>Projet B</t>
  </si>
  <si>
    <t>Projet C</t>
  </si>
  <si>
    <t>Projet D</t>
  </si>
  <si>
    <t>Consultant 8</t>
  </si>
  <si>
    <t>Consultant 2</t>
  </si>
  <si>
    <t>Consultant 6</t>
  </si>
  <si>
    <t>Consultant 7</t>
  </si>
  <si>
    <t>Consultant 3</t>
  </si>
  <si>
    <t>Consultant 1</t>
  </si>
  <si>
    <t>Consultant 5</t>
  </si>
  <si>
    <t>Consultant 4</t>
  </si>
  <si>
    <t>TABLEAU DE BORD - SUIVI DE PROJET CONSORTIUM</t>
  </si>
  <si>
    <t>1. SYNTHÈSE GLOBALE DU PROJET</t>
  </si>
  <si>
    <t>Budget Total Projet</t>
  </si>
  <si>
    <t>(À renseigner)</t>
  </si>
  <si>
    <t>Total Facturé Client</t>
  </si>
  <si>
    <t>Reste à Facturer (RAF)</t>
  </si>
  <si>
    <t>% Avancement Facturation</t>
  </si>
  <si>
    <t>Total Heures Consommées</t>
  </si>
  <si>
    <t>heures</t>
  </si>
  <si>
    <t>Total Dépenses</t>
  </si>
  <si>
    <t>2. RÉCAPITULATIF PAR PROJET</t>
  </si>
  <si>
    <t>Projet</t>
  </si>
  <si>
    <t>Budget</t>
  </si>
  <si>
    <t>Facturé</t>
  </si>
  <si>
    <t>RAF</t>
  </si>
  <si>
    <t>% Avancement</t>
  </si>
  <si>
    <t>Heures Budget</t>
  </si>
  <si>
    <t>Heures Réalisées</t>
  </si>
  <si>
    <t>Heures RAF</t>
  </si>
  <si>
    <t>% Heures</t>
  </si>
  <si>
    <t>3. RÉCAPITULATIF PAR SOCIÉTÉ</t>
  </si>
  <si>
    <t>Société</t>
  </si>
  <si>
    <t>Part Budget</t>
  </si>
  <si>
    <t>Honoraires Facturés</t>
  </si>
  <si>
    <t>Total Coûts</t>
  </si>
  <si>
    <t>RAF Estimé</t>
  </si>
  <si>
    <t>Société C-1</t>
  </si>
  <si>
    <t>Société C-2</t>
  </si>
  <si>
    <t>4. MATRICE PROJETS x SOCIÉTÉS (Facturation)</t>
  </si>
  <si>
    <t>Projet \ Société</t>
  </si>
  <si>
    <t>Total Projet</t>
  </si>
  <si>
    <t>% du Total</t>
  </si>
  <si>
    <t>Total Société</t>
  </si>
  <si>
    <t>% par Société</t>
  </si>
  <si>
    <t>5. INDICATEURS CLÉS DE PERFORMANCE</t>
  </si>
  <si>
    <t>Heures Budget Total</t>
  </si>
  <si>
    <t>Heures Réalisées Total</t>
  </si>
  <si>
    <t>Heures Restantes (RAF)</t>
  </si>
  <si>
    <t>% Heures Consommées</t>
  </si>
  <si>
    <t>FINANCES</t>
  </si>
  <si>
    <t>Taux Horaire Moyen Réalisé</t>
  </si>
  <si>
    <t>$/heure</t>
  </si>
  <si>
    <t>Ratio Honoraires/Budget</t>
  </si>
  <si>
    <t>Consultants Externes</t>
  </si>
  <si>
    <t>Marge Estimée (Budget - Coûts)</t>
  </si>
  <si>
    <t>LÉGENDE ET NOTES</t>
  </si>
  <si>
    <t>● Cellules jaunes avec texte bleu = Données à renseigner (Budget, Heures prévues)</t>
  </si>
  <si>
    <t>● RAF = Reste À Faire (Budget - Réalisé)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</si>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</sst>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4" formatCode="_ * #,##0.00_)\ &quot;$&quot;_ ;_ * \(#,##0.00\)\ &quot;$&quot;_ ;_ * &quot;-&quot;??_)\ &quot;$&quot;_ ;_ @_ "/>
    <numFmt numFmtId="164" formatCode="_-* #,##0.00_-;\-* #,##0.00_-;_-* &quot;-&quot;??_-;_-@_-"/>
    <numFmt numFmtId="165" formatCode="_(* #,##0.00_);_(* \(#,##0.00\);_(* &quot;-&quot;??_);_(@_)"/>
    <numFmt numFmtId="166" formatCode="_ * #,##0.00_)\ _$_ ;_ * \(#,##0.00\)\ _$_ ;_ * &quot;-&quot;??_)\ _$_ ;_ @_ "/>
    <numFmt numFmtId="167" formatCode="_-&quot;$&quot;* #,##0.00_-;\-&quot;$&quot;* #,##0.00_-;_-&quot;$&quot;* &quot;-&quot;??_-;_-@_-"/>
    <numFmt numFmtId="168" formatCode="_-* #,##0.00\ _$_-;_-* #,##0.00\ _$\-;_-* &quot;-&quot;??\ _$_-;_-@_-"/>
    <numFmt numFmtId="169" formatCode="_ * #,##0_)\ _$_ ;_ * \(#,##0\)\ _$_ ;_ * &quot;-&quot;??_)\ _$_ ;_ @_ "/>
    <numFmt numFmtId="170" formatCode="_([$€-2]* #,##0.00_);_([$€-2]* \(#,##0.00\);_([$€-2]* &quot;-&quot;??_)"/>
    <numFmt numFmtId="171" formatCode="0.0%"/>
    <numFmt numFmtId="172" formatCode="_-&quot;$&quot;* #,##0_-;\-&quot;$&quot;* #,##0_-;_-&quot;$&quot;* &quot;-&quot;??_-;_-@_-"/>
    <numFmt numFmtId="173" formatCode="#,##0.00\ &quot;$&quot;"/>
    <numFmt numFmtId="174" formatCode="#,##0\ &quot;$&quot;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b/>
      <sz val="10"/>
      <color indexed="52"/>
      <name val="Arial"/>
      <family val="2"/>
    </font>
    <font>
      <sz val="10"/>
      <color indexed="52"/>
      <name val="Arial"/>
      <family val="2"/>
    </font>
    <font>
      <sz val="10"/>
      <name val="Arial"/>
      <family val="2"/>
    </font>
    <font>
      <sz val="10"/>
      <color indexed="62"/>
      <name val="Arial"/>
      <family val="2"/>
    </font>
    <font>
      <sz val="10"/>
      <color indexed="20"/>
      <name val="Arial"/>
      <family val="2"/>
    </font>
    <font>
      <sz val="10"/>
      <color indexed="60"/>
      <name val="Arial"/>
      <family val="2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0"/>
      <name val="Arial"/>
      <family val="2"/>
    </font>
    <font>
      <sz val="8"/>
      <color theme="9" tint="-0.249977111117893"/>
      <name val="Arial"/>
      <family val="2"/>
    </font>
    <font>
      <b/>
      <sz val="8"/>
      <color rgb="FFFF0000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333333"/>
      <name val="Arial"/>
      <family val="2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0"/>
      <color rgb="FF0000FF"/>
      <name val="Arial"/>
    </font>
    <font>
      <i/>
      <sz val="10"/>
      <color rgb="FF808080"/>
      <name val="Arial"/>
    </font>
    <font>
      <b/>
      <sz val="10"/>
      <color rgb="FFFFFFFF"/>
      <name val="Arial"/>
    </font>
    <font>
      <sz val="9"/>
      <color rgb="FF0000FF"/>
      <name val="Arial"/>
    </font>
    <font>
      <sz val="9"/>
      <name val="Arial"/>
    </font>
  </fonts>
  <fills count="7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808080"/>
        <bgColor indexed="64"/>
      </patternFill>
    </fill>
  </fills>
  <borders count="5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9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20" borderId="1" applyNumberFormat="0" applyAlignment="0" applyProtection="0"/>
    <xf numFmtId="0" fontId="7" fillId="0" borderId="2" applyNumberFormat="0" applyFill="0" applyAlignment="0" applyProtection="0"/>
    <xf numFmtId="0" fontId="8" fillId="21" borderId="3" applyNumberFormat="0" applyFont="0" applyAlignment="0" applyProtection="0"/>
    <xf numFmtId="0" fontId="9" fillId="7" borderId="1" applyNumberFormat="0" applyAlignment="0" applyProtection="0"/>
    <xf numFmtId="170" fontId="8" fillId="0" borderId="0" applyFont="0" applyFill="0" applyBorder="0" applyAlignment="0" applyProtection="0"/>
    <xf numFmtId="0" fontId="10" fillId="3" borderId="0" applyNumberFormat="0" applyBorder="0" applyAlignment="0" applyProtection="0"/>
    <xf numFmtId="166" fontId="2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1" fillId="22" borderId="0" applyNumberFormat="0" applyBorder="0" applyAlignment="0" applyProtection="0"/>
    <xf numFmtId="0" fontId="8" fillId="0" borderId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4" borderId="0" applyNumberFormat="0" applyBorder="0" applyAlignment="0" applyProtection="0"/>
    <xf numFmtId="0" fontId="13" fillId="20" borderId="4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23" borderId="9" applyNumberFormat="0" applyAlignment="0" applyProtection="0"/>
    <xf numFmtId="0" fontId="1" fillId="31" borderId="0" applyNumberFormat="0" applyBorder="0" applyAlignment="0" applyProtection="0"/>
    <xf numFmtId="44" fontId="27" fillId="0" borderId="0" applyFont="0" applyFill="0" applyBorder="0" applyAlignment="0" applyProtection="0"/>
    <xf numFmtId="0" fontId="21" fillId="0" borderId="0"/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40" fillId="0" borderId="28" applyNumberFormat="0" applyFill="0" applyAlignment="0" applyProtection="0"/>
    <xf numFmtId="0" fontId="41" fillId="0" borderId="29" applyNumberFormat="0" applyFill="0" applyAlignment="0" applyProtection="0"/>
    <xf numFmtId="0" fontId="41" fillId="0" borderId="0" applyNumberFormat="0" applyFill="0" applyBorder="0" applyAlignment="0" applyProtection="0"/>
    <xf numFmtId="0" fontId="35" fillId="56" borderId="0" applyNumberFormat="0" applyBorder="0" applyAlignment="0" applyProtection="0"/>
    <xf numFmtId="0" fontId="33" fillId="54" borderId="0" applyNumberFormat="0" applyBorder="0" applyAlignment="0" applyProtection="0"/>
    <xf numFmtId="0" fontId="34" fillId="55" borderId="0" applyNumberFormat="0" applyBorder="0" applyAlignment="0" applyProtection="0"/>
    <xf numFmtId="0" fontId="32" fillId="53" borderId="23" applyNumberFormat="0" applyAlignment="0" applyProtection="0"/>
    <xf numFmtId="0" fontId="36" fillId="51" borderId="26" applyNumberFormat="0" applyAlignment="0" applyProtection="0"/>
    <xf numFmtId="0" fontId="30" fillId="51" borderId="23" applyNumberFormat="0" applyAlignment="0" applyProtection="0"/>
    <xf numFmtId="0" fontId="31" fillId="0" borderId="24" applyNumberFormat="0" applyFill="0" applyAlignment="0" applyProtection="0"/>
    <xf numFmtId="0" fontId="43" fillId="57" borderId="31" applyNumberFormat="0" applyAlignment="0" applyProtection="0"/>
    <xf numFmtId="0" fontId="29" fillId="0" borderId="0" applyNumberFormat="0" applyFill="0" applyBorder="0" applyAlignment="0" applyProtection="0"/>
    <xf numFmtId="0" fontId="1" fillId="52" borderId="25" applyNumberFormat="0" applyFont="0" applyAlignment="0" applyProtection="0"/>
    <xf numFmtId="0" fontId="37" fillId="0" borderId="0" applyNumberFormat="0" applyFill="0" applyBorder="0" applyAlignment="0" applyProtection="0"/>
    <xf numFmtId="0" fontId="42" fillId="0" borderId="30" applyNumberFormat="0" applyFill="0" applyAlignment="0" applyProtection="0"/>
    <xf numFmtId="0" fontId="28" fillId="45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28" fillId="39" borderId="0" applyNumberFormat="0" applyBorder="0" applyAlignment="0" applyProtection="0"/>
    <xf numFmtId="0" fontId="28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28" fillId="40" borderId="0" applyNumberFormat="0" applyBorder="0" applyAlignment="0" applyProtection="0"/>
    <xf numFmtId="0" fontId="28" fillId="47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28" fillId="41" borderId="0" applyNumberFormat="0" applyBorder="0" applyAlignment="0" applyProtection="0"/>
    <xf numFmtId="0" fontId="28" fillId="48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28" fillId="42" borderId="0" applyNumberFormat="0" applyBorder="0" applyAlignment="0" applyProtection="0"/>
    <xf numFmtId="0" fontId="28" fillId="49" borderId="0" applyNumberFormat="0" applyBorder="0" applyAlignment="0" applyProtection="0"/>
    <xf numFmtId="0" fontId="1" fillId="37" borderId="0" applyNumberFormat="0" applyBorder="0" applyAlignment="0" applyProtection="0"/>
    <xf numFmtId="0" fontId="28" fillId="43" borderId="0" applyNumberFormat="0" applyBorder="0" applyAlignment="0" applyProtection="0"/>
    <xf numFmtId="0" fontId="28" fillId="50" borderId="0" applyNumberFormat="0" applyBorder="0" applyAlignment="0" applyProtection="0"/>
    <xf numFmtId="0" fontId="1" fillId="32" borderId="0" applyNumberFormat="0" applyBorder="0" applyAlignment="0" applyProtection="0"/>
    <xf numFmtId="0" fontId="1" fillId="38" borderId="0" applyNumberFormat="0" applyBorder="0" applyAlignment="0" applyProtection="0"/>
    <xf numFmtId="0" fontId="28" fillId="44" borderId="0" applyNumberFormat="0" applyBorder="0" applyAlignment="0" applyProtection="0"/>
    <xf numFmtId="0" fontId="21" fillId="0" borderId="0"/>
  </cellStyleXfs>
  <cellXfs count="253">
    <xf numFmtId="0" fontId="0" fillId="0" borderId="0" xfId="0"/>
    <xf numFmtId="0" fontId="21" fillId="0" borderId="0" xfId="0" applyFont="1"/>
    <xf numFmtId="0" fontId="8" fillId="0" borderId="0" xfId="0" applyFont="1"/>
    <xf numFmtId="169" fontId="21" fillId="0" borderId="0" xfId="34" applyNumberFormat="1" applyFont="1" applyFill="1" applyAlignment="1">
      <alignment horizontal="center"/>
    </xf>
    <xf numFmtId="167" fontId="21" fillId="0" borderId="0" xfId="37" applyFont="1"/>
    <xf numFmtId="167" fontId="21" fillId="0" borderId="0" xfId="37" applyFont="1" applyBorder="1"/>
    <xf numFmtId="169" fontId="21" fillId="0" borderId="0" xfId="34" applyNumberFormat="1" applyFont="1" applyFill="1" applyBorder="1" applyAlignment="1">
      <alignment horizontal="center"/>
    </xf>
    <xf numFmtId="167" fontId="21" fillId="0" borderId="0" xfId="37" applyFont="1" applyFill="1" applyBorder="1" applyAlignment="1">
      <alignment horizontal="center"/>
    </xf>
    <xf numFmtId="167" fontId="23" fillId="0" borderId="0" xfId="37" applyFont="1" applyFill="1" applyBorder="1" applyAlignment="1">
      <alignment horizontal="center"/>
    </xf>
    <xf numFmtId="167" fontId="21" fillId="0" borderId="0" xfId="0" applyNumberFormat="1" applyFont="1"/>
    <xf numFmtId="0" fontId="21" fillId="0" borderId="0" xfId="34" applyNumberFormat="1" applyFont="1" applyFill="1" applyBorder="1" applyAlignment="1">
      <alignment horizontal="center"/>
    </xf>
    <xf numFmtId="167" fontId="21" fillId="0" borderId="0" xfId="37" applyFont="1" applyFill="1" applyBorder="1"/>
    <xf numFmtId="167" fontId="21" fillId="0" borderId="0" xfId="37" applyFont="1" applyFill="1"/>
    <xf numFmtId="168" fontId="21" fillId="0" borderId="0" xfId="0" applyNumberFormat="1" applyFont="1"/>
    <xf numFmtId="0" fontId="21" fillId="0" borderId="0" xfId="0" applyFont="1" applyAlignment="1">
      <alignment horizontal="left"/>
    </xf>
    <xf numFmtId="167" fontId="21" fillId="0" borderId="0" xfId="37" applyFont="1" applyAlignment="1">
      <alignment horizontal="right"/>
    </xf>
    <xf numFmtId="167" fontId="21" fillId="0" borderId="0" xfId="0" applyNumberFormat="1" applyFont="1" applyAlignment="1">
      <alignment horizontal="right"/>
    </xf>
    <xf numFmtId="169" fontId="8" fillId="0" borderId="0" xfId="34" applyNumberFormat="1" applyFont="1" applyFill="1" applyAlignment="1">
      <alignment horizontal="center"/>
    </xf>
    <xf numFmtId="167" fontId="8" fillId="0" borderId="0" xfId="37" applyFont="1" applyFill="1"/>
    <xf numFmtId="0" fontId="21" fillId="0" borderId="0" xfId="0" applyFont="1" applyAlignment="1">
      <alignment horizontal="right"/>
    </xf>
    <xf numFmtId="167" fontId="23" fillId="0" borderId="0" xfId="37" applyFont="1" applyFill="1" applyBorder="1" applyAlignment="1">
      <alignment horizontal="right"/>
    </xf>
    <xf numFmtId="167" fontId="21" fillId="0" borderId="0" xfId="37" applyFont="1" applyFill="1" applyBorder="1" applyAlignment="1">
      <alignment horizontal="right"/>
    </xf>
    <xf numFmtId="167" fontId="21" fillId="0" borderId="0" xfId="37" applyFont="1" applyBorder="1" applyAlignment="1">
      <alignment horizontal="right"/>
    </xf>
    <xf numFmtId="168" fontId="21" fillId="0" borderId="0" xfId="0" applyNumberFormat="1" applyFont="1" applyAlignment="1">
      <alignment horizontal="right"/>
    </xf>
    <xf numFmtId="167" fontId="23" fillId="0" borderId="13" xfId="37" applyFont="1" applyFill="1" applyBorder="1"/>
    <xf numFmtId="14" fontId="21" fillId="0" borderId="0" xfId="0" applyNumberFormat="1" applyFont="1" applyAlignment="1">
      <alignment horizontal="left"/>
    </xf>
    <xf numFmtId="167" fontId="23" fillId="0" borderId="18" xfId="37" applyFont="1" applyFill="1" applyBorder="1"/>
    <xf numFmtId="9" fontId="21" fillId="0" borderId="0" xfId="40" applyFont="1" applyFill="1"/>
    <xf numFmtId="9" fontId="21" fillId="0" borderId="0" xfId="37" applyNumberFormat="1" applyFont="1"/>
    <xf numFmtId="9" fontId="21" fillId="0" borderId="0" xfId="0" applyNumberFormat="1" applyFont="1"/>
    <xf numFmtId="9" fontId="21" fillId="0" borderId="0" xfId="40" applyFont="1" applyFill="1" applyBorder="1"/>
    <xf numFmtId="9" fontId="21" fillId="0" borderId="0" xfId="40" applyFont="1" applyFill="1" applyBorder="1" applyAlignment="1">
      <alignment horizontal="right"/>
    </xf>
    <xf numFmtId="166" fontId="21" fillId="0" borderId="0" xfId="32" applyFont="1"/>
    <xf numFmtId="44" fontId="21" fillId="0" borderId="0" xfId="35" applyFont="1" applyFill="1" applyAlignment="1">
      <alignment horizontal="center"/>
    </xf>
    <xf numFmtId="166" fontId="21" fillId="0" borderId="0" xfId="32" applyFont="1" applyFill="1" applyAlignment="1">
      <alignment horizontal="center"/>
    </xf>
    <xf numFmtId="166" fontId="21" fillId="0" borderId="0" xfId="32" applyFont="1" applyFill="1" applyBorder="1" applyAlignment="1">
      <alignment horizontal="center"/>
    </xf>
    <xf numFmtId="0" fontId="21" fillId="24" borderId="0" xfId="0" applyFont="1" applyFill="1" applyAlignment="1">
      <alignment wrapText="1"/>
    </xf>
    <xf numFmtId="166" fontId="21" fillId="0" borderId="13" xfId="32" applyFont="1" applyBorder="1"/>
    <xf numFmtId="9" fontId="21" fillId="0" borderId="0" xfId="40" applyFont="1" applyFill="1" applyBorder="1" applyAlignment="1">
      <alignment horizontal="center" vertical="top" wrapText="1"/>
    </xf>
    <xf numFmtId="0" fontId="23" fillId="0" borderId="0" xfId="34" applyNumberFormat="1" applyFont="1" applyFill="1" applyBorder="1" applyAlignment="1">
      <alignment horizontal="center"/>
    </xf>
    <xf numFmtId="166" fontId="21" fillId="0" borderId="0" xfId="32" applyFont="1" applyFill="1"/>
    <xf numFmtId="166" fontId="21" fillId="0" borderId="0" xfId="0" applyNumberFormat="1" applyFont="1"/>
    <xf numFmtId="10" fontId="21" fillId="0" borderId="0" xfId="4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169" fontId="21" fillId="0" borderId="0" xfId="32" applyNumberFormat="1" applyFont="1" applyFill="1"/>
    <xf numFmtId="169" fontId="21" fillId="0" borderId="0" xfId="0" applyNumberFormat="1" applyFont="1"/>
    <xf numFmtId="10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9" fontId="23" fillId="0" borderId="0" xfId="32" applyNumberFormat="1" applyFont="1" applyFill="1"/>
    <xf numFmtId="0" fontId="8" fillId="0" borderId="0" xfId="39"/>
    <xf numFmtId="44" fontId="21" fillId="0" borderId="0" xfId="0" applyNumberFormat="1" applyFont="1"/>
    <xf numFmtId="0" fontId="8" fillId="0" borderId="0" xfId="0" applyFont="1" applyAlignment="1">
      <alignment horizontal="center"/>
    </xf>
    <xf numFmtId="17" fontId="21" fillId="0" borderId="0" xfId="0" applyNumberFormat="1" applyFont="1" applyAlignment="1">
      <alignment horizontal="center"/>
    </xf>
    <xf numFmtId="9" fontId="8" fillId="0" borderId="0" xfId="40" applyFont="1" applyFill="1" applyAlignment="1">
      <alignment horizontal="center"/>
    </xf>
    <xf numFmtId="166" fontId="21" fillId="0" borderId="0" xfId="40" applyNumberFormat="1" applyFont="1" applyFill="1"/>
    <xf numFmtId="167" fontId="8" fillId="0" borderId="0" xfId="37" applyFont="1" applyFill="1" applyAlignment="1">
      <alignment horizontal="center"/>
    </xf>
    <xf numFmtId="0" fontId="21" fillId="25" borderId="0" xfId="34" applyNumberFormat="1" applyFont="1" applyFill="1" applyBorder="1" applyAlignment="1">
      <alignment horizontal="center"/>
    </xf>
    <xf numFmtId="167" fontId="8" fillId="25" borderId="12" xfId="37" applyFont="1" applyFill="1" applyBorder="1" applyAlignment="1">
      <alignment horizontal="center"/>
    </xf>
    <xf numFmtId="167" fontId="21" fillId="25" borderId="11" xfId="37" applyFont="1" applyFill="1" applyBorder="1" applyAlignment="1">
      <alignment horizontal="center"/>
    </xf>
    <xf numFmtId="167" fontId="21" fillId="25" borderId="19" xfId="37" applyFont="1" applyFill="1" applyBorder="1" applyAlignment="1">
      <alignment horizontal="center"/>
    </xf>
    <xf numFmtId="167" fontId="21" fillId="0" borderId="21" xfId="37" applyFont="1" applyFill="1" applyBorder="1"/>
    <xf numFmtId="167" fontId="23" fillId="0" borderId="22" xfId="37" applyFont="1" applyFill="1" applyBorder="1"/>
    <xf numFmtId="167" fontId="23" fillId="0" borderId="21" xfId="37" applyFont="1" applyFill="1" applyBorder="1"/>
    <xf numFmtId="166" fontId="21" fillId="25" borderId="0" xfId="32" applyFont="1" applyFill="1" applyBorder="1" applyAlignment="1">
      <alignment horizontal="center"/>
    </xf>
    <xf numFmtId="0" fontId="21" fillId="0" borderId="0" xfId="0" applyFont="1" applyAlignment="1">
      <alignment wrapText="1"/>
    </xf>
    <xf numFmtId="0" fontId="21" fillId="0" borderId="0" xfId="34" applyNumberFormat="1" applyFont="1" applyFill="1" applyAlignment="1">
      <alignment horizontal="center"/>
    </xf>
    <xf numFmtId="166" fontId="23" fillId="25" borderId="13" xfId="32" applyFont="1" applyFill="1" applyBorder="1" applyAlignment="1">
      <alignment horizontal="center"/>
    </xf>
    <xf numFmtId="10" fontId="21" fillId="0" borderId="0" xfId="40" applyNumberFormat="1" applyFont="1" applyFill="1" applyBorder="1" applyAlignment="1">
      <alignment horizontal="center"/>
    </xf>
    <xf numFmtId="14" fontId="21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44" fontId="21" fillId="0" borderId="0" xfId="35" applyFont="1" applyFill="1"/>
    <xf numFmtId="0" fontId="0" fillId="0" borderId="0" xfId="0" quotePrefix="1"/>
    <xf numFmtId="44" fontId="0" fillId="0" borderId="0" xfId="0" applyNumberFormat="1"/>
    <xf numFmtId="167" fontId="0" fillId="0" borderId="0" xfId="0" applyNumberFormat="1"/>
    <xf numFmtId="166" fontId="0" fillId="0" borderId="0" xfId="32" applyFont="1"/>
    <xf numFmtId="0" fontId="21" fillId="58" borderId="0" xfId="0" applyFont="1" applyFill="1"/>
    <xf numFmtId="167" fontId="23" fillId="0" borderId="0" xfId="37" applyFont="1"/>
    <xf numFmtId="167" fontId="23" fillId="0" borderId="12" xfId="37" applyFont="1" applyFill="1" applyBorder="1" applyAlignment="1">
      <alignment wrapText="1"/>
    </xf>
    <xf numFmtId="167" fontId="23" fillId="0" borderId="19" xfId="37" applyFont="1" applyFill="1" applyBorder="1" applyAlignment="1">
      <alignment vertical="center"/>
    </xf>
    <xf numFmtId="167" fontId="44" fillId="0" borderId="17" xfId="37" applyFont="1" applyFill="1" applyBorder="1"/>
    <xf numFmtId="0" fontId="45" fillId="0" borderId="0" xfId="0" applyFont="1"/>
    <xf numFmtId="2" fontId="23" fillId="25" borderId="13" xfId="34" applyNumberFormat="1" applyFont="1" applyFill="1" applyBorder="1" applyAlignment="1">
      <alignment horizontal="center"/>
    </xf>
    <xf numFmtId="10" fontId="21" fillId="0" borderId="0" xfId="40" applyNumberFormat="1" applyFont="1"/>
    <xf numFmtId="167" fontId="23" fillId="26" borderId="15" xfId="37" applyFont="1" applyFill="1" applyBorder="1" applyAlignment="1">
      <alignment horizontal="left" wrapText="1"/>
    </xf>
    <xf numFmtId="167" fontId="23" fillId="26" borderId="15" xfId="37" applyFont="1" applyFill="1" applyBorder="1" applyAlignment="1">
      <alignment horizontal="center" wrapText="1"/>
    </xf>
    <xf numFmtId="0" fontId="23" fillId="26" borderId="15" xfId="37" applyNumberFormat="1" applyFont="1" applyFill="1" applyBorder="1" applyAlignment="1">
      <alignment horizontal="center" wrapText="1"/>
    </xf>
    <xf numFmtId="167" fontId="23" fillId="26" borderId="35" xfId="37" applyFont="1" applyFill="1" applyBorder="1" applyAlignment="1">
      <alignment horizontal="right" wrapText="1"/>
    </xf>
    <xf numFmtId="167" fontId="23" fillId="26" borderId="14" xfId="37" applyFont="1" applyFill="1" applyBorder="1" applyAlignment="1">
      <alignment horizontal="center" wrapText="1"/>
    </xf>
    <xf numFmtId="166" fontId="21" fillId="0" borderId="0" xfId="32" applyFont="1" applyBorder="1"/>
    <xf numFmtId="167" fontId="23" fillId="26" borderId="35" xfId="37" applyFont="1" applyFill="1" applyBorder="1" applyAlignment="1">
      <alignment horizontal="center" wrapText="1"/>
    </xf>
    <xf numFmtId="167" fontId="21" fillId="0" borderId="36" xfId="37" applyFont="1" applyBorder="1"/>
    <xf numFmtId="167" fontId="23" fillId="0" borderId="37" xfId="37" applyFont="1" applyFill="1" applyBorder="1"/>
    <xf numFmtId="167" fontId="23" fillId="0" borderId="36" xfId="37" applyFont="1" applyFill="1" applyBorder="1" applyAlignment="1">
      <alignment horizontal="center"/>
    </xf>
    <xf numFmtId="167" fontId="21" fillId="25" borderId="0" xfId="37" applyFont="1" applyFill="1" applyBorder="1" applyAlignment="1">
      <alignment horizontal="center"/>
    </xf>
    <xf numFmtId="167" fontId="23" fillId="58" borderId="11" xfId="37" applyFont="1" applyFill="1" applyBorder="1" applyAlignment="1">
      <alignment horizontal="center" vertical="center"/>
    </xf>
    <xf numFmtId="167" fontId="23" fillId="58" borderId="12" xfId="37" applyFont="1" applyFill="1" applyBorder="1" applyAlignment="1">
      <alignment horizontal="center" vertical="center" wrapText="1"/>
    </xf>
    <xf numFmtId="167" fontId="23" fillId="58" borderId="11" xfId="37" applyFont="1" applyFill="1" applyBorder="1" applyAlignment="1">
      <alignment horizontal="center" vertical="center" wrapText="1"/>
    </xf>
    <xf numFmtId="167" fontId="23" fillId="58" borderId="19" xfId="37" applyFont="1" applyFill="1" applyBorder="1" applyAlignment="1">
      <alignment horizontal="center" vertical="center" wrapText="1"/>
    </xf>
    <xf numFmtId="167" fontId="23" fillId="58" borderId="12" xfId="37" applyFont="1" applyFill="1" applyBorder="1" applyAlignment="1">
      <alignment horizontal="center" vertical="center"/>
    </xf>
    <xf numFmtId="167" fontId="23" fillId="58" borderId="19" xfId="37" applyFont="1" applyFill="1" applyBorder="1" applyAlignment="1">
      <alignment horizontal="center" vertical="center"/>
    </xf>
    <xf numFmtId="167" fontId="47" fillId="59" borderId="10" xfId="84" applyNumberFormat="1" applyFont="1" applyFill="1" applyBorder="1" applyAlignment="1"/>
    <xf numFmtId="0" fontId="21" fillId="59" borderId="0" xfId="0" applyFont="1" applyFill="1"/>
    <xf numFmtId="14" fontId="25" fillId="58" borderId="20" xfId="37" applyNumberFormat="1" applyFont="1" applyFill="1" applyBorder="1" applyAlignment="1">
      <alignment horizontal="center" vertical="center" wrapText="1"/>
    </xf>
    <xf numFmtId="167" fontId="25" fillId="58" borderId="20" xfId="37" applyFont="1" applyFill="1" applyBorder="1" applyAlignment="1">
      <alignment horizontal="center" vertical="center" wrapText="1"/>
    </xf>
    <xf numFmtId="44" fontId="26" fillId="58" borderId="20" xfId="35" applyFont="1" applyFill="1" applyBorder="1" applyAlignment="1">
      <alignment horizontal="center"/>
    </xf>
    <xf numFmtId="44" fontId="23" fillId="58" borderId="20" xfId="35" applyFont="1" applyFill="1" applyBorder="1" applyAlignment="1"/>
    <xf numFmtId="169" fontId="22" fillId="0" borderId="0" xfId="34" applyNumberFormat="1" applyFont="1" applyFill="1" applyAlignment="1">
      <alignment horizontal="right"/>
    </xf>
    <xf numFmtId="0" fontId="22" fillId="0" borderId="0" xfId="0" applyFont="1" applyAlignment="1">
      <alignment horizontal="right"/>
    </xf>
    <xf numFmtId="169" fontId="22" fillId="0" borderId="0" xfId="34" applyNumberFormat="1" applyFont="1" applyFill="1" applyAlignment="1">
      <alignment horizontal="center"/>
    </xf>
    <xf numFmtId="44" fontId="21" fillId="0" borderId="0" xfId="32" applyNumberFormat="1" applyFont="1"/>
    <xf numFmtId="44" fontId="21" fillId="0" borderId="0" xfId="0" applyNumberFormat="1" applyFont="1" applyAlignment="1">
      <alignment horizontal="right"/>
    </xf>
    <xf numFmtId="44" fontId="23" fillId="26" borderId="14" xfId="37" applyNumberFormat="1" applyFont="1" applyFill="1" applyBorder="1" applyAlignment="1">
      <alignment horizontal="center" wrapText="1"/>
    </xf>
    <xf numFmtId="44" fontId="21" fillId="0" borderId="0" xfId="37" applyNumberFormat="1" applyFont="1" applyBorder="1"/>
    <xf numFmtId="44" fontId="21" fillId="0" borderId="0" xfId="32" applyNumberFormat="1" applyFont="1" applyBorder="1"/>
    <xf numFmtId="165" fontId="21" fillId="0" borderId="0" xfId="0" applyNumberFormat="1" applyFont="1"/>
    <xf numFmtId="44" fontId="21" fillId="0" borderId="13" xfId="35" applyFont="1" applyBorder="1"/>
    <xf numFmtId="166" fontId="21" fillId="0" borderId="0" xfId="32" applyFont="1" applyFill="1" applyBorder="1" applyAlignment="1">
      <alignment horizontal="right"/>
    </xf>
    <xf numFmtId="44" fontId="21" fillId="0" borderId="0" xfId="35" applyFont="1"/>
    <xf numFmtId="44" fontId="23" fillId="0" borderId="0" xfId="35" applyFont="1"/>
    <xf numFmtId="0" fontId="2" fillId="0" borderId="0" xfId="0" applyFont="1" applyAlignment="1">
      <alignment horizontal="right"/>
    </xf>
    <xf numFmtId="44" fontId="21" fillId="0" borderId="0" xfId="35" applyFont="1" applyFill="1" applyAlignment="1">
      <alignment horizontal="right"/>
    </xf>
    <xf numFmtId="0" fontId="49" fillId="61" borderId="0" xfId="0" applyFont="1" applyFill="1"/>
    <xf numFmtId="44" fontId="49" fillId="61" borderId="0" xfId="35" applyFont="1" applyFill="1"/>
    <xf numFmtId="10" fontId="49" fillId="61" borderId="0" xfId="40" applyNumberFormat="1" applyFont="1" applyFill="1" applyAlignment="1">
      <alignment horizontal="center"/>
    </xf>
    <xf numFmtId="0" fontId="49" fillId="61" borderId="0" xfId="0" applyFont="1" applyFill="1" applyAlignment="1">
      <alignment horizontal="center"/>
    </xf>
    <xf numFmtId="0" fontId="22" fillId="0" borderId="0" xfId="0" applyFont="1"/>
    <xf numFmtId="15" fontId="22" fillId="60" borderId="0" xfId="0" applyNumberFormat="1" applyFont="1" applyFill="1"/>
    <xf numFmtId="0" fontId="2" fillId="0" borderId="0" xfId="0" applyFont="1"/>
    <xf numFmtId="44" fontId="0" fillId="0" borderId="0" xfId="35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5" fontId="22" fillId="0" borderId="0" xfId="0" applyNumberFormat="1" applyFont="1"/>
    <xf numFmtId="0" fontId="0" fillId="62" borderId="0" xfId="0" applyFill="1"/>
    <xf numFmtId="0" fontId="22" fillId="62" borderId="0" xfId="0" applyFont="1" applyFill="1"/>
    <xf numFmtId="44" fontId="22" fillId="62" borderId="0" xfId="35" applyFont="1" applyFill="1"/>
    <xf numFmtId="0" fontId="0" fillId="62" borderId="0" xfId="0" applyFill="1" applyAlignment="1">
      <alignment horizontal="left"/>
    </xf>
    <xf numFmtId="0" fontId="2" fillId="0" borderId="0" xfId="0" applyFont="1" applyAlignment="1">
      <alignment horizontal="center"/>
    </xf>
    <xf numFmtId="44" fontId="21" fillId="0" borderId="0" xfId="35" applyFont="1" applyFill="1" applyBorder="1"/>
    <xf numFmtId="44" fontId="0" fillId="0" borderId="0" xfId="35" applyFont="1" applyFill="1"/>
    <xf numFmtId="0" fontId="21" fillId="63" borderId="0" xfId="0" applyFont="1" applyFill="1" applyAlignment="1">
      <alignment horizontal="left"/>
    </xf>
    <xf numFmtId="0" fontId="2" fillId="63" borderId="0" xfId="0" applyFont="1" applyFill="1" applyAlignment="1">
      <alignment horizontal="center"/>
    </xf>
    <xf numFmtId="0" fontId="21" fillId="63" borderId="0" xfId="34" applyNumberFormat="1" applyFont="1" applyFill="1" applyAlignment="1">
      <alignment horizontal="center"/>
    </xf>
    <xf numFmtId="169" fontId="21" fillId="63" borderId="0" xfId="34" applyNumberFormat="1" applyFont="1" applyFill="1" applyAlignment="1">
      <alignment horizontal="center"/>
    </xf>
    <xf numFmtId="44" fontId="49" fillId="63" borderId="0" xfId="35" applyFont="1" applyFill="1" applyAlignment="1">
      <alignment horizontal="center"/>
    </xf>
    <xf numFmtId="44" fontId="21" fillId="63" borderId="0" xfId="35" applyFont="1" applyFill="1"/>
    <xf numFmtId="0" fontId="21" fillId="63" borderId="0" xfId="0" applyFont="1" applyFill="1"/>
    <xf numFmtId="167" fontId="23" fillId="58" borderId="32" xfId="37" applyFont="1" applyFill="1" applyBorder="1" applyAlignment="1">
      <alignment horizontal="center" vertical="center" wrapText="1"/>
    </xf>
    <xf numFmtId="166" fontId="21" fillId="0" borderId="15" xfId="40" applyNumberFormat="1" applyFont="1" applyFill="1" applyBorder="1"/>
    <xf numFmtId="44" fontId="22" fillId="0" borderId="0" xfId="35" applyFont="1" applyFill="1"/>
    <xf numFmtId="0" fontId="2" fillId="0" borderId="0" xfId="34" applyNumberFormat="1" applyFont="1" applyFill="1" applyBorder="1" applyAlignment="1">
      <alignment horizontal="center"/>
    </xf>
    <xf numFmtId="44" fontId="2" fillId="0" borderId="0" xfId="35" applyFont="1" applyFill="1" applyBorder="1"/>
    <xf numFmtId="0" fontId="23" fillId="0" borderId="0" xfId="0" applyFont="1"/>
    <xf numFmtId="166" fontId="21" fillId="0" borderId="0" xfId="32" applyFont="1" applyFill="1" applyBorder="1"/>
    <xf numFmtId="167" fontId="44" fillId="0" borderId="16" xfId="37" applyFont="1" applyFill="1" applyBorder="1"/>
    <xf numFmtId="9" fontId="23" fillId="0" borderId="0" xfId="40" applyFont="1" applyFill="1" applyBorder="1" applyAlignment="1">
      <alignment horizontal="center"/>
    </xf>
    <xf numFmtId="0" fontId="24" fillId="58" borderId="11" xfId="0" applyFont="1" applyFill="1" applyBorder="1" applyAlignment="1">
      <alignment horizontal="center"/>
    </xf>
    <xf numFmtId="17" fontId="24" fillId="59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7" fontId="21" fillId="0" borderId="33" xfId="37" applyFont="1" applyFill="1" applyBorder="1"/>
    <xf numFmtId="167" fontId="23" fillId="0" borderId="41" xfId="37" applyFont="1" applyFill="1" applyBorder="1"/>
    <xf numFmtId="167" fontId="23" fillId="26" borderId="42" xfId="37" applyFont="1" applyFill="1" applyBorder="1" applyAlignment="1">
      <alignment horizontal="center" wrapText="1"/>
    </xf>
    <xf numFmtId="167" fontId="23" fillId="26" borderId="43" xfId="37" applyFont="1" applyFill="1" applyBorder="1" applyAlignment="1">
      <alignment horizontal="center" wrapText="1"/>
    </xf>
    <xf numFmtId="167" fontId="21" fillId="0" borderId="33" xfId="0" applyNumberFormat="1" applyFont="1" applyBorder="1"/>
    <xf numFmtId="44" fontId="23" fillId="26" borderId="15" xfId="37" applyNumberFormat="1" applyFont="1" applyFill="1" applyBorder="1" applyAlignment="1">
      <alignment horizontal="center" wrapText="1"/>
    </xf>
    <xf numFmtId="0" fontId="21" fillId="0" borderId="21" xfId="0" applyFont="1" applyBorder="1" applyAlignment="1">
      <alignment wrapText="1"/>
    </xf>
    <xf numFmtId="0" fontId="21" fillId="0" borderId="21" xfId="0" applyFont="1" applyBorder="1"/>
    <xf numFmtId="167" fontId="21" fillId="0" borderId="33" xfId="37" applyFont="1" applyBorder="1"/>
    <xf numFmtId="0" fontId="21" fillId="0" borderId="33" xfId="0" applyFont="1" applyBorder="1"/>
    <xf numFmtId="167" fontId="21" fillId="0" borderId="36" xfId="0" applyNumberFormat="1" applyFont="1" applyBorder="1"/>
    <xf numFmtId="0" fontId="21" fillId="0" borderId="36" xfId="0" applyFont="1" applyBorder="1"/>
    <xf numFmtId="44" fontId="23" fillId="0" borderId="18" xfId="35" applyFont="1" applyFill="1" applyBorder="1"/>
    <xf numFmtId="44" fontId="23" fillId="0" borderId="46" xfId="35" applyFont="1" applyFill="1" applyBorder="1"/>
    <xf numFmtId="44" fontId="23" fillId="0" borderId="45" xfId="35" applyFont="1" applyFill="1" applyBorder="1"/>
    <xf numFmtId="44" fontId="21" fillId="0" borderId="16" xfId="35" applyFont="1" applyFill="1" applyBorder="1" applyAlignment="1">
      <alignment horizontal="center"/>
    </xf>
    <xf numFmtId="44" fontId="21" fillId="0" borderId="0" xfId="35" applyFont="1" applyFill="1" applyBorder="1" applyAlignment="1">
      <alignment horizontal="center"/>
    </xf>
    <xf numFmtId="44" fontId="21" fillId="0" borderId="17" xfId="35" applyFont="1" applyFill="1" applyBorder="1" applyAlignment="1">
      <alignment horizontal="center"/>
    </xf>
    <xf numFmtId="44" fontId="21" fillId="0" borderId="36" xfId="35" applyFont="1" applyFill="1" applyBorder="1" applyAlignment="1">
      <alignment horizontal="center"/>
    </xf>
    <xf numFmtId="44" fontId="21" fillId="0" borderId="16" xfId="35" applyFont="1" applyFill="1" applyBorder="1" applyAlignment="1">
      <alignment horizontal="right"/>
    </xf>
    <xf numFmtId="44" fontId="21" fillId="0" borderId="40" xfId="35" applyFont="1" applyFill="1" applyBorder="1" applyAlignment="1">
      <alignment horizontal="right"/>
    </xf>
    <xf numFmtId="44" fontId="21" fillId="0" borderId="39" xfId="35" applyFont="1" applyFill="1" applyBorder="1" applyAlignment="1">
      <alignment horizontal="right"/>
    </xf>
    <xf numFmtId="0" fontId="21" fillId="58" borderId="12" xfId="0" applyFont="1" applyFill="1" applyBorder="1"/>
    <xf numFmtId="0" fontId="21" fillId="58" borderId="11" xfId="0" applyFont="1" applyFill="1" applyBorder="1"/>
    <xf numFmtId="0" fontId="21" fillId="58" borderId="19" xfId="0" applyFont="1" applyFill="1" applyBorder="1"/>
    <xf numFmtId="166" fontId="23" fillId="0" borderId="40" xfId="32" applyFont="1" applyFill="1" applyBorder="1" applyAlignment="1">
      <alignment horizontal="right"/>
    </xf>
    <xf numFmtId="166" fontId="23" fillId="0" borderId="39" xfId="32" applyFont="1" applyFill="1" applyBorder="1" applyAlignment="1">
      <alignment horizontal="right"/>
    </xf>
    <xf numFmtId="166" fontId="23" fillId="0" borderId="38" xfId="32" applyFont="1" applyFill="1" applyBorder="1"/>
    <xf numFmtId="44" fontId="21" fillId="0" borderId="39" xfId="0" applyNumberFormat="1" applyFont="1" applyBorder="1"/>
    <xf numFmtId="44" fontId="46" fillId="0" borderId="38" xfId="37" applyNumberFormat="1" applyFont="1" applyFill="1" applyBorder="1"/>
    <xf numFmtId="44" fontId="23" fillId="0" borderId="38" xfId="35" applyFont="1" applyFill="1" applyBorder="1"/>
    <xf numFmtId="9" fontId="21" fillId="0" borderId="13" xfId="40" applyFont="1" applyBorder="1"/>
    <xf numFmtId="167" fontId="21" fillId="25" borderId="47" xfId="37" applyFont="1" applyFill="1" applyBorder="1" applyAlignment="1">
      <alignment horizontal="center"/>
    </xf>
    <xf numFmtId="167" fontId="21" fillId="0" borderId="36" xfId="37" applyFont="1" applyBorder="1" applyAlignment="1">
      <alignment horizontal="center"/>
    </xf>
    <xf numFmtId="171" fontId="21" fillId="0" borderId="36" xfId="40" applyNumberFormat="1" applyFont="1" applyBorder="1" applyAlignment="1">
      <alignment horizontal="center"/>
    </xf>
    <xf numFmtId="9" fontId="21" fillId="0" borderId="37" xfId="40" applyFont="1" applyBorder="1" applyAlignment="1">
      <alignment horizontal="center"/>
    </xf>
    <xf numFmtId="167" fontId="21" fillId="25" borderId="48" xfId="37" applyFont="1" applyFill="1" applyBorder="1" applyAlignment="1">
      <alignment horizontal="center"/>
    </xf>
    <xf numFmtId="172" fontId="21" fillId="0" borderId="33" xfId="37" applyNumberFormat="1" applyFont="1" applyBorder="1" applyAlignment="1">
      <alignment horizontal="center"/>
    </xf>
    <xf numFmtId="44" fontId="21" fillId="0" borderId="41" xfId="35" applyFont="1" applyBorder="1"/>
    <xf numFmtId="10" fontId="21" fillId="0" borderId="36" xfId="32" applyNumberFormat="1" applyFont="1" applyBorder="1" applyAlignment="1">
      <alignment horizontal="center"/>
    </xf>
    <xf numFmtId="171" fontId="21" fillId="0" borderId="33" xfId="40" applyNumberFormat="1" applyFont="1" applyBorder="1" applyAlignment="1">
      <alignment horizontal="center"/>
    </xf>
    <xf numFmtId="9" fontId="21" fillId="0" borderId="41" xfId="40" applyFont="1" applyBorder="1" applyAlignment="1">
      <alignment horizontal="center"/>
    </xf>
    <xf numFmtId="0" fontId="21" fillId="0" borderId="0" xfId="40" applyNumberFormat="1" applyFont="1" applyFill="1" applyBorder="1" applyAlignment="1">
      <alignment horizontal="center"/>
    </xf>
    <xf numFmtId="0" fontId="24" fillId="0" borderId="15" xfId="32" applyNumberFormat="1" applyFont="1" applyBorder="1" applyAlignment="1">
      <alignment horizontal="center"/>
    </xf>
    <xf numFmtId="17" fontId="24" fillId="0" borderId="0" xfId="0" applyNumberFormat="1" applyFont="1" applyAlignment="1">
      <alignment horizontal="left"/>
    </xf>
    <xf numFmtId="169" fontId="24" fillId="0" borderId="0" xfId="34" applyNumberFormat="1" applyFont="1" applyFill="1" applyBorder="1" applyAlignment="1">
      <alignment horizontal="center"/>
    </xf>
    <xf numFmtId="167" fontId="21" fillId="0" borderId="0" xfId="37" applyFont="1" applyFill="1" applyBorder="1" applyAlignment="1">
      <alignment horizontal="center" wrapText="1"/>
    </xf>
    <xf numFmtId="44" fontId="21" fillId="0" borderId="49" xfId="35" applyFont="1" applyBorder="1"/>
    <xf numFmtId="44" fontId="21" fillId="0" borderId="44" xfId="35" applyFont="1" applyFill="1" applyBorder="1"/>
    <xf numFmtId="44" fontId="21" fillId="0" borderId="33" xfId="35" applyFont="1" applyFill="1" applyBorder="1"/>
    <xf numFmtId="44" fontId="21" fillId="0" borderId="33" xfId="35" applyFont="1" applyBorder="1"/>
    <xf numFmtId="44" fontId="21" fillId="0" borderId="33" xfId="0" applyNumberFormat="1" applyFont="1" applyBorder="1"/>
    <xf numFmtId="10" fontId="23" fillId="0" borderId="0" xfId="40" applyNumberFormat="1" applyFont="1" applyFill="1" applyBorder="1"/>
    <xf numFmtId="14" fontId="21" fillId="0" borderId="0" xfId="0" quotePrefix="1" applyNumberFormat="1" applyFont="1" applyAlignment="1">
      <alignment horizontal="left"/>
    </xf>
    <xf numFmtId="15" fontId="22" fillId="60" borderId="0" xfId="0" quotePrefix="1" applyNumberFormat="1" applyFont="1" applyFill="1"/>
    <xf numFmtId="0" fontId="50" fillId="0" borderId="0" xfId="0" applyFont="1"/>
    <xf numFmtId="0" fontId="51" fillId="64" borderId="0" xfId="0" applyFont="1" applyFill="1" applyAlignment="1">
      <alignment horizontal="center"/>
    </xf>
    <xf numFmtId="0" fontId="52" fillId="65" borderId="0" xfId="0" applyFont="1" applyFill="1"/>
    <xf numFmtId="0" fontId="0" fillId="65" borderId="0" xfId="0" applyFill="1"/>
    <xf numFmtId="0" fontId="53" fillId="0" borderId="0" xfId="0" applyFont="1"/>
    <xf numFmtId="0" fontId="53" fillId="66" borderId="0" xfId="0" applyFont="1" applyFill="1"/>
    <xf numFmtId="173" fontId="54" fillId="60" borderId="0" xfId="0" applyNumberFormat="1" applyFont="1" applyFill="1"/>
    <xf numFmtId="0" fontId="55" fillId="0" borderId="0" xfId="0" applyFont="1"/>
    <xf numFmtId="173" fontId="0" fillId="0" borderId="0" xfId="0" applyNumberFormat="1"/>
    <xf numFmtId="171" fontId="0" fillId="0" borderId="0" xfId="0" applyNumberFormat="1"/>
    <xf numFmtId="4" fontId="0" fillId="0" borderId="0" xfId="0" applyNumberFormat="1"/>
    <xf numFmtId="0" fontId="53" fillId="67" borderId="0" xfId="0" applyFont="1" applyFill="1" applyAlignment="1">
      <alignment horizontal="center"/>
    </xf>
    <xf numFmtId="174" fontId="0" fillId="0" borderId="0" xfId="0" applyNumberFormat="1"/>
    <xf numFmtId="3" fontId="54" fillId="60" borderId="0" xfId="0" applyNumberFormat="1" applyFont="1" applyFill="1"/>
    <xf numFmtId="3" fontId="0" fillId="0" borderId="0" xfId="0" applyNumberFormat="1"/>
    <xf numFmtId="0" fontId="53" fillId="68" borderId="0" xfId="0" applyFont="1" applyFill="1"/>
    <xf numFmtId="174" fontId="53" fillId="68" borderId="0" xfId="0" applyNumberFormat="1" applyFont="1" applyFill="1"/>
    <xf numFmtId="174" fontId="53" fillId="0" borderId="0" xfId="0" applyNumberFormat="1" applyFont="1"/>
    <xf numFmtId="171" fontId="53" fillId="68" borderId="0" xfId="0" applyNumberFormat="1" applyFont="1" applyFill="1"/>
    <xf numFmtId="3" fontId="53" fillId="68" borderId="0" xfId="0" applyNumberFormat="1" applyFont="1" applyFill="1"/>
    <xf numFmtId="0" fontId="53" fillId="69" borderId="0" xfId="0" applyFont="1" applyFill="1"/>
    <xf numFmtId="0" fontId="0" fillId="69" borderId="0" xfId="0" applyFill="1"/>
    <xf numFmtId="171" fontId="0" fillId="69" borderId="0" xfId="0" applyNumberFormat="1" applyFill="1"/>
    <xf numFmtId="171" fontId="53" fillId="69" borderId="0" xfId="0" applyNumberFormat="1" applyFont="1" applyFill="1"/>
    <xf numFmtId="0" fontId="53" fillId="70" borderId="0" xfId="0" applyFont="1" applyFill="1"/>
    <xf numFmtId="0" fontId="0" fillId="70" borderId="0" xfId="0" applyFill="1"/>
    <xf numFmtId="0" fontId="0" fillId="66" borderId="0" xfId="0" applyFill="1"/>
    <xf numFmtId="0" fontId="56" fillId="71" borderId="0" xfId="0" applyFont="1" applyFill="1"/>
    <xf numFmtId="0" fontId="0" fillId="71" borderId="0" xfId="0" applyFill="1"/>
    <xf numFmtId="0" fontId="57" fillId="66" borderId="0" xfId="0" applyFont="1" applyFill="1"/>
    <xf numFmtId="0" fontId="58" fillId="0" borderId="0" xfId="0" applyFont="1"/>
    <xf numFmtId="167" fontId="23" fillId="58" borderId="12" xfId="37" applyFont="1" applyFill="1" applyBorder="1" applyAlignment="1">
      <alignment horizontal="center"/>
    </xf>
    <xf numFmtId="167" fontId="23" fillId="58" borderId="19" xfId="37" applyFont="1" applyFill="1" applyBorder="1" applyAlignment="1">
      <alignment horizontal="center"/>
    </xf>
    <xf numFmtId="167" fontId="22" fillId="58" borderId="12" xfId="37" applyFont="1" applyFill="1" applyBorder="1" applyAlignment="1">
      <alignment horizontal="center"/>
    </xf>
    <xf numFmtId="167" fontId="22" fillId="58" borderId="11" xfId="37" applyFont="1" applyFill="1" applyBorder="1" applyAlignment="1">
      <alignment horizontal="center"/>
    </xf>
    <xf numFmtId="167" fontId="22" fillId="58" borderId="19" xfId="37" applyFont="1" applyFill="1" applyBorder="1" applyAlignment="1">
      <alignment horizontal="center"/>
    </xf>
    <xf numFmtId="0" fontId="23" fillId="58" borderId="44" xfId="0" applyFont="1" applyFill="1" applyBorder="1" applyAlignment="1">
      <alignment horizontal="center" vertical="center"/>
    </xf>
    <xf numFmtId="0" fontId="23" fillId="58" borderId="34" xfId="0" applyFont="1" applyFill="1" applyBorder="1" applyAlignment="1">
      <alignment horizontal="center" vertical="center"/>
    </xf>
    <xf numFmtId="44" fontId="25" fillId="58" borderId="44" xfId="35" applyFont="1" applyFill="1" applyBorder="1" applyAlignment="1">
      <alignment horizontal="center" vertical="center" wrapText="1"/>
    </xf>
    <xf numFmtId="44" fontId="25" fillId="58" borderId="34" xfId="35" applyFont="1" applyFill="1" applyBorder="1" applyAlignment="1">
      <alignment horizontal="center" vertical="center" wrapText="1"/>
    </xf>
  </cellXfs>
  <cellStyles count="96">
    <cellStyle name="20 % - Accent1" xfId="1" builtinId="30" customBuiltin="1"/>
    <cellStyle name="20 % - Accent1 2" xfId="73" xr:uid="{00000000-0005-0000-0000-000001000000}"/>
    <cellStyle name="20 % - Accent2" xfId="2" builtinId="34" customBuiltin="1"/>
    <cellStyle name="20 % - Accent2 2" xfId="77" xr:uid="{00000000-0005-0000-0000-000003000000}"/>
    <cellStyle name="20 % - Accent3" xfId="3" builtinId="38" customBuiltin="1"/>
    <cellStyle name="20 % - Accent3 2" xfId="81" xr:uid="{00000000-0005-0000-0000-000005000000}"/>
    <cellStyle name="20 % - Accent4" xfId="4" builtinId="42" customBuiltin="1"/>
    <cellStyle name="20 % - Accent4 2" xfId="85" xr:uid="{00000000-0005-0000-0000-000007000000}"/>
    <cellStyle name="20 % - Accent5" xfId="5" builtinId="46" customBuiltin="1"/>
    <cellStyle name="20 % - Accent5 2" xfId="52" xr:uid="{00000000-0005-0000-0000-000009000000}"/>
    <cellStyle name="20 % - Accent6" xfId="6" builtinId="50" customBuiltin="1"/>
    <cellStyle name="20 % - Accent6 2" xfId="92" xr:uid="{00000000-0005-0000-0000-00000B000000}"/>
    <cellStyle name="40 % - Accent1" xfId="7" builtinId="31" customBuiltin="1"/>
    <cellStyle name="40 % - Accent1 2" xfId="74" xr:uid="{00000000-0005-0000-0000-00000D000000}"/>
    <cellStyle name="40 % - Accent2" xfId="8" builtinId="35" customBuiltin="1"/>
    <cellStyle name="40 % - Accent2 2" xfId="78" xr:uid="{00000000-0005-0000-0000-00000F000000}"/>
    <cellStyle name="40 % - Accent3" xfId="9" builtinId="39" customBuiltin="1"/>
    <cellStyle name="40 % - Accent3 2" xfId="82" xr:uid="{00000000-0005-0000-0000-000011000000}"/>
    <cellStyle name="40 % - Accent4" xfId="10" builtinId="43" customBuiltin="1"/>
    <cellStyle name="40 % - Accent4 2" xfId="86" xr:uid="{00000000-0005-0000-0000-000013000000}"/>
    <cellStyle name="40 % - Accent5" xfId="11" builtinId="47" customBuiltin="1"/>
    <cellStyle name="40 % - Accent5 2" xfId="89" xr:uid="{00000000-0005-0000-0000-000015000000}"/>
    <cellStyle name="40 % - Accent6" xfId="12" builtinId="51" customBuiltin="1"/>
    <cellStyle name="40 % - Accent6 2" xfId="93" xr:uid="{00000000-0005-0000-0000-000017000000}"/>
    <cellStyle name="60 % - Accent1" xfId="13" builtinId="32" customBuiltin="1"/>
    <cellStyle name="60 % - Accent1 2" xfId="75" xr:uid="{00000000-0005-0000-0000-000019000000}"/>
    <cellStyle name="60 % - Accent2" xfId="14" builtinId="36" customBuiltin="1"/>
    <cellStyle name="60 % - Accent2 2" xfId="79" xr:uid="{00000000-0005-0000-0000-00001B000000}"/>
    <cellStyle name="60 % - Accent3" xfId="15" builtinId="40" customBuiltin="1"/>
    <cellStyle name="60 % - Accent3 2" xfId="83" xr:uid="{00000000-0005-0000-0000-00001D000000}"/>
    <cellStyle name="60 % - Accent4" xfId="16" builtinId="44" customBuiltin="1"/>
    <cellStyle name="60 % - Accent4 2" xfId="87" xr:uid="{00000000-0005-0000-0000-00001F000000}"/>
    <cellStyle name="60 % - Accent5" xfId="17" builtinId="48" customBuiltin="1"/>
    <cellStyle name="60 % - Accent5 2" xfId="90" xr:uid="{00000000-0005-0000-0000-000021000000}"/>
    <cellStyle name="60 % - Accent6" xfId="18" builtinId="52" customBuiltin="1"/>
    <cellStyle name="60 % - Accent6 2" xfId="94" xr:uid="{00000000-0005-0000-0000-000023000000}"/>
    <cellStyle name="Accent1" xfId="19" builtinId="29" customBuiltin="1"/>
    <cellStyle name="Accent1 2" xfId="72" xr:uid="{00000000-0005-0000-0000-000025000000}"/>
    <cellStyle name="Accent2" xfId="20" builtinId="33" customBuiltin="1"/>
    <cellStyle name="Accent2 2" xfId="76" xr:uid="{00000000-0005-0000-0000-000027000000}"/>
    <cellStyle name="Accent3" xfId="21" builtinId="37" customBuiltin="1"/>
    <cellStyle name="Accent3 2" xfId="80" xr:uid="{00000000-0005-0000-0000-000029000000}"/>
    <cellStyle name="Accent4" xfId="22" builtinId="41" customBuiltin="1"/>
    <cellStyle name="Accent4 2" xfId="84" xr:uid="{00000000-0005-0000-0000-00002B000000}"/>
    <cellStyle name="Accent5" xfId="23" builtinId="45" customBuiltin="1"/>
    <cellStyle name="Accent5 2" xfId="88" xr:uid="{00000000-0005-0000-0000-00002D000000}"/>
    <cellStyle name="Accent6" xfId="24" builtinId="49" customBuiltin="1"/>
    <cellStyle name="Accent6 2" xfId="91" xr:uid="{00000000-0005-0000-0000-00002F000000}"/>
    <cellStyle name="Avertissement" xfId="25" builtinId="11" customBuiltin="1"/>
    <cellStyle name="Avertissement 2" xfId="68" xr:uid="{00000000-0005-0000-0000-000031000000}"/>
    <cellStyle name="Calcul" xfId="26" builtinId="22" customBuiltin="1"/>
    <cellStyle name="Calcul 2" xfId="65" xr:uid="{00000000-0005-0000-0000-000033000000}"/>
    <cellStyle name="Cellule liée" xfId="27" builtinId="24" customBuiltin="1"/>
    <cellStyle name="Cellule liée 2" xfId="66" xr:uid="{00000000-0005-0000-0000-000035000000}"/>
    <cellStyle name="Commentaire" xfId="28" xr:uid="{00000000-0005-0000-0000-000036000000}"/>
    <cellStyle name="Commentaire 2" xfId="69" xr:uid="{00000000-0005-0000-0000-000037000000}"/>
    <cellStyle name="Entrée" xfId="29" builtinId="20" customBuiltin="1"/>
    <cellStyle name="Entrée 2" xfId="63" xr:uid="{00000000-0005-0000-0000-000039000000}"/>
    <cellStyle name="Euro" xfId="30" xr:uid="{00000000-0005-0000-0000-00003A000000}"/>
    <cellStyle name="Insatisfaisant" xfId="31" builtinId="27" customBuiltin="1"/>
    <cellStyle name="Insatisfaisant 2" xfId="61" xr:uid="{00000000-0005-0000-0000-00003C000000}"/>
    <cellStyle name="Milliers" xfId="32" builtinId="3"/>
    <cellStyle name="Milliers 2" xfId="33" xr:uid="{00000000-0005-0000-0000-00003E000000}"/>
    <cellStyle name="Milliers_honor 2009-2010" xfId="34" xr:uid="{00000000-0005-0000-0000-00003F000000}"/>
    <cellStyle name="Monétaire" xfId="35" builtinId="4"/>
    <cellStyle name="Monétaire 2" xfId="36" xr:uid="{00000000-0005-0000-0000-000041000000}"/>
    <cellStyle name="Monétaire 3" xfId="53" xr:uid="{00000000-0005-0000-0000-000042000000}"/>
    <cellStyle name="Monétaire_honor 2009-2010" xfId="37" xr:uid="{00000000-0005-0000-0000-000043000000}"/>
    <cellStyle name="Neutre" xfId="38" builtinId="28" customBuiltin="1"/>
    <cellStyle name="Neutre 2" xfId="62" xr:uid="{00000000-0005-0000-0000-000045000000}"/>
    <cellStyle name="Normal" xfId="0" builtinId="0"/>
    <cellStyle name="Normal 2" xfId="39" xr:uid="{00000000-0005-0000-0000-000047000000}"/>
    <cellStyle name="Normal 2 2" xfId="95" xr:uid="{00000000-0005-0000-0000-000048000000}"/>
    <cellStyle name="Normal 3" xfId="54" xr:uid="{00000000-0005-0000-0000-000049000000}"/>
    <cellStyle name="Pourcentage" xfId="40" builtinId="5"/>
    <cellStyle name="Pourcentage 2" xfId="41" xr:uid="{00000000-0005-0000-0000-00004B000000}"/>
    <cellStyle name="Satisfaisant" xfId="42" builtinId="26" customBuiltin="1"/>
    <cellStyle name="Satisfaisant 2" xfId="60" xr:uid="{00000000-0005-0000-0000-00004D000000}"/>
    <cellStyle name="Sortie" xfId="43" builtinId="21" customBuiltin="1"/>
    <cellStyle name="Sortie 2" xfId="64" xr:uid="{00000000-0005-0000-0000-00004F000000}"/>
    <cellStyle name="Texte explicatif" xfId="44" builtinId="53" customBuiltin="1"/>
    <cellStyle name="Texte explicatif 2" xfId="70" xr:uid="{00000000-0005-0000-0000-000051000000}"/>
    <cellStyle name="Titre" xfId="45" builtinId="15" customBuiltin="1"/>
    <cellStyle name="Titre 2" xfId="55" xr:uid="{00000000-0005-0000-0000-000053000000}"/>
    <cellStyle name="Titre 1" xfId="46" builtinId="16" customBuiltin="1"/>
    <cellStyle name="Titre 1 2" xfId="56" xr:uid="{00000000-0005-0000-0000-000055000000}"/>
    <cellStyle name="Titre 2" xfId="47" builtinId="17" customBuiltin="1"/>
    <cellStyle name="Titre 2 2" xfId="57" xr:uid="{00000000-0005-0000-0000-000057000000}"/>
    <cellStyle name="Titre 3" xfId="48" builtinId="18" customBuiltin="1"/>
    <cellStyle name="Titre 3 2" xfId="58" xr:uid="{00000000-0005-0000-0000-000059000000}"/>
    <cellStyle name="Titre 4" xfId="49" builtinId="19" customBuiltin="1"/>
    <cellStyle name="Titre 4 2" xfId="59" xr:uid="{00000000-0005-0000-0000-00005B000000}"/>
    <cellStyle name="Total" xfId="50" builtinId="25" customBuiltin="1"/>
    <cellStyle name="Total 2" xfId="71" xr:uid="{00000000-0005-0000-0000-00005D000000}"/>
    <cellStyle name="Vérification" xfId="51" builtinId="23" customBuiltin="1"/>
    <cellStyle name="Vérification 2" xfId="67" xr:uid="{00000000-0005-0000-0000-00005F000000}"/>
  </cellStyles>
  <dxfs count="0"/>
  <tableStyles count="1" defaultTableStyle="TableStyleMedium2" defaultPivotStyle="PivotStyleLight16">
    <tableStyle name="Style de tableau croisé dynamique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égory Simon" id="{DC0FF439-EAF0-4829-AD8E-34436848D25A}" userId="S::gsimon@provencherroy.ca::33484fdc-dd8f-4577-9b7f-a3e42bd05be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7" dT="2022-02-16T16:48:55.92" personId="{DC0FF439-EAF0-4829-AD8E-34436848D25A}" id="{694E1051-BE05-440E-AF43-1C383EE21B2A}">
    <text>Technorm #48401 | 387.50$
#48400 | 1950$</text>
  </threadedComment>
  <threadedComment ref="Q8" dT="2022-02-16T16:47:30.88" personId="{DC0FF439-EAF0-4829-AD8E-34436848D25A}" id="{75DDAA75-A926-41E8-8AC9-E1C54EA60800}">
    <text>Technorm #48723 | 1540$
WSP #956725 | 1445$
#956719 | 1760$
#956709 | 5100$
#956717 | 2390$</text>
  </threadedComment>
  <threadedComment ref="Q9" dT="2022-02-16T17:01:02.16" personId="{DC0FF439-EAF0-4829-AD8E-34436848D25A}" id="{61E7F833-AD2C-452B-9337-1ACB6A1A1616}">
    <text>Epigraphe #70 | 16812.50$
WSP #962677 | 7855$
#962664 | 14775$
#962665 | 8160$
#962674 | 8790$</text>
  </threadedComment>
  <threadedComment ref="Q10" dT="2022-02-16T16:45:45.85" personId="{DC0FF439-EAF0-4829-AD8E-34436848D25A}" id="{F902BD5E-DF80-4ABA-89F5-B1295474A107}">
    <text>Charles Ladrie #5318 | 2100$ (Reçu en sept 2021)
Technorm #49431 | 745$
Epigraphe #75 | 19315$
WSP #974769 | 5400$
#974713 | 6900$
#974723 | 7200$
#974760 | 3600$
Reçu en juin 2021
#969189 | 6650$
#969181 | 8450$
#969167 | 16425$
#969202 | 6100$</text>
  </threadedComment>
  <threadedComment ref="Q11" dT="2022-02-16T16:43:56.54" personId="{DC0FF439-EAF0-4829-AD8E-34436848D25A}" id="{E25DB071-64B1-4E8B-8CF6-968EBA865E51}">
    <text>Ascension #2101004 | 323.75$
SoftDB #ING-MTL-21-120 | 4430$
Technorm #49821 | 1333$
Epigraphe #80 | 23211.25
EXp #598424 | 6480$</text>
  </threadedComment>
  <threadedComment ref="Q12" dT="2022-02-16T16:56:03.94" personId="{DC0FF439-EAF0-4829-AD8E-34436848D25A}" id="{4B369341-19B8-4562-9E04-6908C557D9E2}">
    <text>Technorm #50267 | 1138.75$
Epigraphe #82 | 15100$
#983735 | 8625$
#983755 | 1800$
#983746 | 1800$
#983741 | 1800$</text>
  </threadedComment>
  <threadedComment ref="Q13" dT="2022-02-16T17:01:31.99" personId="{DC0FF439-EAF0-4829-AD8E-34436848D25A}" id="{0DB09BA0-1CCB-4E39-A1B0-E8E96EC0F61E}">
    <text>Epigraphe #89 | 2282.50$
EXP #608406 | 4230$
WSP #989542 | 3600$
#991927 | 2700$
#989541 | 1725$</text>
  </threadedComment>
  <threadedComment ref="Q14" dT="2022-02-16T16:44:57.02" personId="{DC0FF439-EAF0-4829-AD8E-34436848D25A}" id="{18312AB5-0D59-44A3-B962-A1C3D5E450A2}">
    <text>Ascension #2104007 | 9750$
Technorm #51021 | 3337.50$
EXP #612631 | 6105$
WSP #998261 | 2700$
#998252 | 1800$</text>
  </threadedComment>
  <threadedComment ref="Q15" dT="2022-02-16T16:44:23.75" personId="{DC0FF439-EAF0-4829-AD8E-34436848D25A}" id="{7A48A988-CF03-4F5A-A33F-7DBFFF759B3A}">
    <text>Ascension #2105005 | 416.25$
EXP #618856 | 885$</text>
  </threadedComment>
  <threadedComment ref="Q18" dT="2022-02-16T18:10:53.95" personId="{DC0FF439-EAF0-4829-AD8E-34436848D25A}" id="{BB393FA5-7353-466B-B60F-4281CD967C55}">
    <text>WSP #1033204 | 1800$
#1033803 | 4506.25$
#1033207 | 1800$</text>
  </threadedComment>
  <threadedComment ref="Q19" dT="2022-02-16T18:12:54.14" personId="{DC0FF439-EAF0-4829-AD8E-34436848D25A}" id="{0F0DE727-E6A1-463F-8B65-67ADDE6BE6CD}">
    <text>WSP #1041074 | 2112.50$</text>
  </threadedComment>
  <threadedComment ref="Q20" dT="2022-02-16T16:47:04.76" personId="{DC0FF439-EAF0-4829-AD8E-34436848D25A}" id="{D3FEDEDB-8FAD-4CF9-A4C8-4BEE3586B0A7}">
    <text>Technorm #49122 | 811.25$
#49121 | 5850$
EXP #636840 | 2380$
WSP #1048149 | 1380$</text>
  </threadedComment>
  <threadedComment ref="Q21" dT="2022-02-16T16:57:19.20" personId="{DC0FF439-EAF0-4829-AD8E-34436848D25A}" id="{5D4358DB-F66F-4565-BD3F-45E08340A3C8}">
    <text>Technorm #53333 | 33.75$
WSP #1067086 | 1380$
#1057290 | 2112.50$
#1057287 | 690$</text>
  </threadedComment>
  <threadedComment ref="Q23" dT="2022-04-20T04:02:02.21" personId="{DC0FF439-EAF0-4829-AD8E-34436848D25A}" id="{329CE496-641B-4452-8BAB-43FC5DE6ACFC}">
    <text>Ascension: #22011 | 370$
Technorm: #54149 | 165$</text>
  </threadedComment>
  <threadedComment ref="Q24" dT="2022-04-20T04:09:56.11" personId="{DC0FF439-EAF0-4829-AD8E-34436848D25A}" id="{38B8A48D-B3B2-4487-A6C1-78DCF42328B2}">
    <text>WSP: #1085756 | 1380$
#1085754 | 2800$
#1085750 | 2800$
#1095364 | 3963.75$</text>
  </threadedComment>
  <threadedComment ref="Q25" dT="2022-07-06T15:12:21.81" personId="{DC0FF439-EAF0-4829-AD8E-34436848D25A}" id="{3350008B-0825-4215-B80D-0C13C0AF0DD6}">
    <text>Technorm: 55012 | 165$
WSp: #1102666 | 1380$</text>
  </threadedComment>
  <threadedComment ref="Q26" dT="2022-07-06T15:12:46.70" personId="{DC0FF439-EAF0-4829-AD8E-34436848D25A}" id="{603AE70E-07D0-48CA-836B-4CA671B5FBDC}">
    <text>Ascension: 22037 | 185$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0" dT="2021-01-31T15:57:40.39" personId="{DC0FF439-EAF0-4829-AD8E-34436848D25A}" id="{0C9EA13D-7759-4A9C-B1C5-61F9F470DC9C}">
    <text>Facture EXP #598424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7" dT="2021-01-21T19:37:21.89" personId="{DC0FF439-EAF0-4829-AD8E-34436848D25A}" id="{0111A6B1-020D-4873-945A-29686573D96A}">
    <text>Ajustement rétroactif des salaires 2499.88</text>
  </threadedComment>
  <threadedComment ref="H7" dT="2020-11-11T21:23:29.79" personId="{DC0FF439-EAF0-4829-AD8E-34436848D25A}" id="{BAB24C54-BC6D-49D8-BD31-B9A33BD72391}">
    <text>#20-2970
Ajustemen rétroactif des salaires pour facture 20-2945</text>
  </threadedComment>
  <threadedComment ref="B9" dT="2021-01-20T15:08:36.75" personId="{DC0FF439-EAF0-4829-AD8E-34436848D25A}" id="{2F10E797-7A35-4523-9C05-A87467E4B2D0}">
    <text>Pour la période du 26 au 2 janvier, leurs bureaux étaient fermés.</text>
  </threadedComment>
  <threadedComment ref="H20" dT="2022-01-07T16:28:21.17" personId="{DC0FF439-EAF0-4829-AD8E-34436848D25A}" id="{2D6F96CF-EBA1-47EC-B170-ADBD84AA23C5}">
    <text>Frais de déplacement;
Gaz: 274.99$
Location auto: 473.65$
Frais repas: 47.69$</text>
  </threadedComment>
  <threadedComment ref="H21" dT="2022-01-28T16:10:31.51" personId="{DC0FF439-EAF0-4829-AD8E-34436848D25A}" id="{E09C5097-04E1-477A-9D83-DBB666926DE5}">
    <text>Frais de déplacement</text>
  </threadedComment>
  <threadedComment ref="H23" dT="2022-04-20T03:59:25.55" personId="{DC0FF439-EAF0-4829-AD8E-34436848D25A}" id="{41C98CD9-C549-44B9-80CB-C421571BF109}">
    <text>Location: 82.39*4=329.56$
Carburant: 204.51$
Repas: 41.52$</text>
  </threadedComment>
  <threadedComment ref="H24" dT="2022-04-26T19:03:05.98" personId="{DC0FF439-EAF0-4829-AD8E-34436848D25A}" id="{F7DACC08-E09C-449C-A00D-78770CD2E306}">
    <text>Frais de déplacement: 495.95$
Essence: 336.66$
Frais de repas: 68.36 &amp; 60.76$</text>
  </threadedComment>
  <threadedComment ref="H27" dT="2022-07-19T13:54:37.03" personId="{DC0FF439-EAF0-4829-AD8E-34436848D25A}" id="{A0180FEC-EAC1-448D-A7F2-FAEC057C015F}">
    <text>Frais de courrier: 9.75$
Frais de déplac: 1660.41$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8" dT="2020-11-13T16:22:56.39" personId="{DC0FF439-EAF0-4829-AD8E-34436848D25A}" id="{E7B1817A-1CE1-4BBA-9D17-A670586C8C83}">
    <text>Factures WSP pour octobre reçu après envoi de la facture client 10695$</text>
  </threadedComment>
  <threadedComment ref="H18" dT="2021-10-26T01:41:28.54" personId="{DC0FF439-EAF0-4829-AD8E-34436848D25A}" id="{F83AD50C-8F4A-465E-9730-E59F0521235F}">
    <text>Frais de déplacement : 82$ -&gt; 70.52$ remboursable
Impression: 276$
Messagerie: 20.75
Sous-traitance: 8584.25$</text>
  </threadedComment>
  <threadedComment ref="H20" dT="2022-01-07T16:32:17.31" personId="{DC0FF439-EAF0-4829-AD8E-34436848D25A}" id="{E6FAF4C1-A39F-4DE5-B2DF-38B271D86C13}">
    <text>Frais de déplacement: 31.82$
Frais impression: 178.70$
Frais de messagerie: 6.50$</text>
  </threadedComment>
  <threadedComment ref="H21" dT="2022-01-28T16:15:18.03" personId="{DC0FF439-EAF0-4829-AD8E-34436848D25A}" id="{93631BB8-1552-4253-935B-736BFFDC1F77}">
    <text>FdD = 75.68
Frais divers: 104.27
Impressions: 364.55</text>
  </threadedComment>
  <threadedComment ref="H23" dT="2022-04-20T03:51:23.87" personId="{DC0FF439-EAF0-4829-AD8E-34436848D25A}" id="{7F25045E-159E-4B9A-B40D-5034639B75FA}">
    <text>Frais de Dépla (KM): 32.68$
Repas: 40$</text>
  </threadedComment>
  <threadedComment ref="H24" dT="2022-04-26T19:21:38.80" personId="{DC0FF439-EAF0-4829-AD8E-34436848D25A}" id="{8CEF09A5-714E-4F0C-98C3-68A6640D2F8A}">
    <text>Frais de kilométrageÈ 83.42$
Frais d'impression: 683.10$
Frais de messagerie: 58.17$
Frais de license pour photographie: 127.29$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072E56-1F28-46BA-A6A1-7F09E1626FEC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FF92-F7A4-48F5-8FE0-15C6EE4CD9D0}">
  <dimension ref="A1:K59"/>
  <sheetViews>
    <sheetView tabSelected="1" workbookViewId="0">
      <selection activeCell="H31" sqref="H31"/>
    </sheetView>
  </sheetViews>
  <sheetFormatPr baseColWidth="10" defaultRowHeight="12.75" x14ac:dyDescent="0.2"/>
  <cols>
    <col min="1" max="1" width="75.28515625" customWidth="1"/>
    <col min="2" max="11" width="18.5703125" customWidth="1"/>
  </cols>
  <sheetData>
    <row r="1" spans="1:11" ht="18" x14ac:dyDescent="0.25">
      <c r="A1" s="214" t="s">
        <v>520</v>
      </c>
    </row>
    <row r="3" spans="1:11" ht="15.75" x14ac:dyDescent="0.25">
      <c r="A3" s="215" t="s">
        <v>521</v>
      </c>
      <c r="B3" s="216"/>
      <c r="C3" s="216"/>
      <c r="D3" s="216"/>
      <c r="E3" s="216"/>
      <c r="F3" s="216"/>
    </row>
    <row r="5" spans="1:11" x14ac:dyDescent="0.2">
      <c r="A5" s="218" t="s">
        <v>522</v>
      </c>
      <c r="B5" s="219">
        <v>6600000</v>
      </c>
      <c r="C5" s="220" t="s">
        <v>523</v>
      </c>
    </row>
    <row r="6" spans="1:11" x14ac:dyDescent="0.2">
      <c r="A6" s="218" t="s">
        <v>524</v>
      </c>
      <c r="B6" s="221">
        <f>'Facturation Client'!I50</f>
        <v>6249636.2300000004</v>
      </c>
    </row>
    <row r="7" spans="1:11" x14ac:dyDescent="0.2">
      <c r="A7" s="218" t="s">
        <v>525</v>
      </c>
      <c r="B7" s="221">
        <f>B5-B6</f>
        <v>350363.76999999955</v>
      </c>
    </row>
    <row r="8" spans="1:11" x14ac:dyDescent="0.2">
      <c r="A8" s="218" t="s">
        <v>526</v>
      </c>
      <c r="B8" s="222">
        <f>IF(B5=0,0,B6/B5)</f>
        <v>0.94691458030303033</v>
      </c>
    </row>
    <row r="9" spans="1:11" x14ac:dyDescent="0.2">
      <c r="A9" s="218" t="s">
        <v>527</v>
      </c>
      <c r="B9" s="223">
        <f>consolidé!D82</f>
        <v>57354.55</v>
      </c>
      <c r="C9" t="s">
        <v>528</v>
      </c>
    </row>
    <row r="10" spans="1:11" x14ac:dyDescent="0.2">
      <c r="A10" s="218" t="s">
        <v>529</v>
      </c>
      <c r="B10" s="221">
        <f>consolidé!O68</f>
        <v>68994.880000000005</v>
      </c>
    </row>
    <row r="12" spans="1:11" ht="15.75" x14ac:dyDescent="0.25">
      <c r="A12" s="215" t="s">
        <v>530</v>
      </c>
      <c r="B12" s="216"/>
      <c r="C12" s="216"/>
      <c r="D12" s="216"/>
      <c r="E12" s="216"/>
      <c r="F12" s="216"/>
      <c r="G12" s="216"/>
      <c r="H12" s="216"/>
      <c r="I12" s="216"/>
      <c r="J12" s="216"/>
      <c r="K12" s="216"/>
    </row>
    <row r="14" spans="1:11" x14ac:dyDescent="0.2">
      <c r="A14" s="224" t="s">
        <v>531</v>
      </c>
      <c r="B14" s="224" t="s">
        <v>532</v>
      </c>
      <c r="C14" s="224" t="s">
        <v>533</v>
      </c>
      <c r="D14" s="224" t="s">
        <v>534</v>
      </c>
      <c r="E14" s="224" t="s">
        <v>535</v>
      </c>
      <c r="F14" s="224" t="s">
        <v>536</v>
      </c>
      <c r="G14" s="224" t="s">
        <v>537</v>
      </c>
      <c r="H14" s="224" t="s">
        <v>538</v>
      </c>
      <c r="I14" s="224" t="s">
        <v>539</v>
      </c>
    </row>
    <row r="15" spans="1:11" x14ac:dyDescent="0.2">
      <c r="A15" s="217" t="s">
        <v>508</v>
      </c>
      <c r="B15" s="225">
        <f>'Facturation Client'!E4</f>
        <v>2510239.2000000002</v>
      </c>
      <c r="C15" s="225">
        <f>'Facturation Client'!E50</f>
        <v>2430239.6925000004</v>
      </c>
      <c r="D15" s="225">
        <f>B15-C15</f>
        <v>79999.507499999832</v>
      </c>
      <c r="E15" s="222">
        <f>IF(B15=0,0,C15/B15)</f>
        <v>0.96813072335895323</v>
      </c>
      <c r="F15" s="226">
        <v>31500</v>
      </c>
      <c r="G15" s="227">
        <f>'Société A'!E69</f>
        <v>30652.15</v>
      </c>
      <c r="H15" s="227">
        <f>F15-G15</f>
        <v>847.84999999999854</v>
      </c>
      <c r="I15" s="222">
        <f>IF(F15=0,0,G15/F15)</f>
        <v>0.97308412698412705</v>
      </c>
    </row>
    <row r="16" spans="1:11" x14ac:dyDescent="0.2">
      <c r="A16" s="217" t="s">
        <v>509</v>
      </c>
      <c r="B16" s="225">
        <f>'Facturation Client'!F4</f>
        <v>1309691.7</v>
      </c>
      <c r="C16" s="225">
        <f>'Facturation Client'!F50</f>
        <v>1265663.2625000002</v>
      </c>
      <c r="D16" s="225">
        <f>B16-C16</f>
        <v>44028.437499999767</v>
      </c>
      <c r="E16" s="222">
        <f>IF(B16=0,0,C16/B16)</f>
        <v>0.96638259408683758</v>
      </c>
      <c r="F16" s="226">
        <v>12450</v>
      </c>
      <c r="G16" s="227">
        <f>'Société B'!E70</f>
        <v>12146</v>
      </c>
      <c r="H16" s="227">
        <f>F16-G16</f>
        <v>304</v>
      </c>
      <c r="I16" s="222">
        <f>IF(F16=0,0,G16/F16)</f>
        <v>0.97558232931726907</v>
      </c>
    </row>
    <row r="17" spans="1:11" x14ac:dyDescent="0.2">
      <c r="A17" s="217" t="s">
        <v>510</v>
      </c>
      <c r="B17" s="225">
        <f>'Facturation Client'!G4</f>
        <v>1303576.3999999999</v>
      </c>
      <c r="C17" s="225">
        <f>'Facturation Client'!G50</f>
        <v>1261810.7425000002</v>
      </c>
      <c r="D17" s="225">
        <f>B17-C17</f>
        <v>41765.657499999739</v>
      </c>
      <c r="E17" s="222">
        <f>IF(B17=0,0,C17/B17)</f>
        <v>0.96796071369503178</v>
      </c>
      <c r="F17" s="226">
        <v>12100</v>
      </c>
      <c r="G17" s="227">
        <f>'Société B'!E70</f>
        <v>12146</v>
      </c>
      <c r="H17" s="227">
        <f>F17-G17</f>
        <v>-46</v>
      </c>
      <c r="I17" s="222">
        <f>IF(F17=0,0,G17/F17)</f>
        <v>1.003801652892562</v>
      </c>
    </row>
    <row r="18" spans="1:11" x14ac:dyDescent="0.2">
      <c r="A18" s="217" t="s">
        <v>511</v>
      </c>
      <c r="B18" s="225">
        <f>'Facturation Client'!H4</f>
        <v>1332362.8999999999</v>
      </c>
      <c r="C18" s="225">
        <f>'Facturation Client'!H50</f>
        <v>1291922.5325000002</v>
      </c>
      <c r="D18" s="225">
        <f>B18-C18</f>
        <v>40440.367499999702</v>
      </c>
      <c r="E18" s="222">
        <f>IF(B18=0,0,C18/B18)</f>
        <v>0.96964763316360747</v>
      </c>
      <c r="F18" s="226">
        <v>31250</v>
      </c>
      <c r="G18" s="227">
        <f>'Société A'!E69</f>
        <v>30652.15</v>
      </c>
      <c r="H18" s="227">
        <f>F18-G18</f>
        <v>597.84999999999854</v>
      </c>
      <c r="I18" s="222">
        <f>IF(F18=0,0,G18/F18)</f>
        <v>0.9808688000000001</v>
      </c>
    </row>
    <row r="19" spans="1:11" x14ac:dyDescent="0.2">
      <c r="A19" s="228" t="s">
        <v>5</v>
      </c>
      <c r="B19" s="229">
        <f>SUM(B15:B18)</f>
        <v>6455870.2000000011</v>
      </c>
      <c r="C19" s="229">
        <f>SUM(C15:C18)</f>
        <v>6249636.2300000004</v>
      </c>
      <c r="D19" s="229">
        <f>SUM(D15:D18)</f>
        <v>206233.96999999904</v>
      </c>
      <c r="E19" s="231">
        <f>IF(B19=0,0,C19/B19)</f>
        <v>0.96805481467084009</v>
      </c>
      <c r="F19" s="232">
        <f>SUM(F15:F18)</f>
        <v>87300</v>
      </c>
      <c r="G19" s="232">
        <f>SUM(G15:G18)</f>
        <v>85596.3</v>
      </c>
      <c r="H19" s="232">
        <f>SUM(H15:H18)</f>
        <v>1703.6999999999971</v>
      </c>
      <c r="I19" s="231">
        <f>IF(F19=0,0,G19/F19)</f>
        <v>0.98048453608247421</v>
      </c>
    </row>
    <row r="22" spans="1:11" ht="15.75" x14ac:dyDescent="0.25">
      <c r="A22" s="215" t="s">
        <v>540</v>
      </c>
      <c r="B22" s="216"/>
      <c r="C22" s="216"/>
      <c r="D22" s="216"/>
      <c r="E22" s="216"/>
      <c r="F22" s="216"/>
      <c r="G22" s="216"/>
      <c r="H22" s="216"/>
      <c r="I22" s="216"/>
      <c r="J22" s="216"/>
      <c r="K22" s="216"/>
    </row>
    <row r="24" spans="1:11" x14ac:dyDescent="0.2">
      <c r="A24" s="224" t="s">
        <v>541</v>
      </c>
      <c r="B24" s="224" t="s">
        <v>542</v>
      </c>
      <c r="C24" s="224" t="s">
        <v>543</v>
      </c>
      <c r="D24" s="224" t="s">
        <v>39</v>
      </c>
      <c r="E24" s="224" t="s">
        <v>544</v>
      </c>
      <c r="F24" s="224" t="s">
        <v>545</v>
      </c>
      <c r="G24" s="224" t="s">
        <v>535</v>
      </c>
      <c r="H24" s="224" t="s">
        <v>536</v>
      </c>
      <c r="I24" s="224" t="s">
        <v>537</v>
      </c>
      <c r="J24" s="224" t="s">
        <v>538</v>
      </c>
      <c r="K24" s="224" t="s">
        <v>539</v>
      </c>
    </row>
    <row r="25" spans="1:11" x14ac:dyDescent="0.2">
      <c r="A25" s="217" t="s">
        <v>507</v>
      </c>
      <c r="B25" s="225">
        <v>3250000</v>
      </c>
      <c r="C25" s="225">
        <f>'Société A'!I68</f>
        <v>2285817.8899999992</v>
      </c>
      <c r="D25" s="225">
        <f>'Société A'!H68</f>
        <v>45519.14</v>
      </c>
      <c r="E25" s="225">
        <f>C25+D25</f>
        <v>2331337.0299999993</v>
      </c>
      <c r="F25" s="225">
        <f>B25-E25</f>
        <v>918662.97000000067</v>
      </c>
      <c r="G25" s="222">
        <f>IF(B25=0,0,E25/B25)</f>
        <v>0.71733447076923051</v>
      </c>
      <c r="H25" s="226">
        <v>43948.374302816679</v>
      </c>
      <c r="I25" s="227">
        <v>39650</v>
      </c>
      <c r="J25" s="227">
        <f>H25-I25</f>
        <v>4298.3743028166791</v>
      </c>
      <c r="K25" s="222">
        <f>IF(H25=0,0,I25/H25)</f>
        <v>0.90219491912943883</v>
      </c>
    </row>
    <row r="26" spans="1:11" x14ac:dyDescent="0.2">
      <c r="A26" s="217" t="s">
        <v>506</v>
      </c>
      <c r="B26" s="225">
        <f t="shared" ref="B26:B27" si="0">B16</f>
        <v>1309691.7</v>
      </c>
      <c r="C26" s="225">
        <f>'Société B'!I69</f>
        <v>762524.28999999969</v>
      </c>
      <c r="D26" s="225">
        <f>'Société B'!H69</f>
        <v>20480.559999999998</v>
      </c>
      <c r="E26" s="225">
        <f>C26+D26</f>
        <v>783004.84999999963</v>
      </c>
      <c r="F26" s="225">
        <f>B26-E26</f>
        <v>526686.85000000033</v>
      </c>
      <c r="G26" s="222">
        <f>IF(B26=0,0,E26/B26)</f>
        <v>0.59785432709087161</v>
      </c>
      <c r="H26" s="226">
        <v>17710.406477813012</v>
      </c>
      <c r="I26" s="227">
        <v>16554</v>
      </c>
      <c r="J26" s="227">
        <f>H26-I26</f>
        <v>1156.4064778130123</v>
      </c>
      <c r="K26" s="222">
        <f>IF(H26=0,0,I26/H26)</f>
        <v>0.93470469019094971</v>
      </c>
    </row>
    <row r="27" spans="1:11" x14ac:dyDescent="0.2">
      <c r="A27" s="217" t="s">
        <v>546</v>
      </c>
      <c r="B27" s="225">
        <f t="shared" si="0"/>
        <v>1303576.3999999999</v>
      </c>
      <c r="C27" s="225">
        <f>'Société C-1'!I70</f>
        <v>889034.68000000017</v>
      </c>
      <c r="D27" s="225">
        <f>'Société C-1'!H70</f>
        <v>2631.18</v>
      </c>
      <c r="E27" s="225">
        <f>C27+D27</f>
        <v>891665.86000000022</v>
      </c>
      <c r="F27" s="225">
        <f>B27-E27</f>
        <v>411910.53999999969</v>
      </c>
      <c r="G27" s="222">
        <f>IF(B27=0,0,E27/B27)</f>
        <v>0.68401503740018632</v>
      </c>
      <c r="H27" s="226">
        <v>17627.711864467161</v>
      </c>
      <c r="I27" s="227">
        <v>17023</v>
      </c>
      <c r="J27" s="227">
        <f>H27-I27</f>
        <v>604.71186446716092</v>
      </c>
      <c r="K27" s="222">
        <f>IF(H27=0,0,I27/H27)</f>
        <v>0.96569538524815002</v>
      </c>
    </row>
    <row r="28" spans="1:11" x14ac:dyDescent="0.2">
      <c r="A28" s="217" t="s">
        <v>547</v>
      </c>
      <c r="B28" s="225">
        <v>592602.10000000149</v>
      </c>
      <c r="C28" s="225">
        <f>'Société C-2'!I36</f>
        <v>103413.73</v>
      </c>
      <c r="D28" s="225">
        <f>'Société C-2'!H36</f>
        <v>364</v>
      </c>
      <c r="E28" s="225">
        <f>C28+D28</f>
        <v>103777.73</v>
      </c>
      <c r="F28" s="225">
        <f>B28-E28</f>
        <v>488824.37000000151</v>
      </c>
      <c r="G28" s="222">
        <f>IF(B28=0,0,E28/B28)</f>
        <v>0.17512210975965109</v>
      </c>
      <c r="H28" s="226">
        <v>8013.5073549031576</v>
      </c>
      <c r="I28" s="227">
        <v>12369.300000000003</v>
      </c>
      <c r="J28" s="227">
        <f>H28-I28</f>
        <v>-4355.7926450968453</v>
      </c>
      <c r="K28" s="222">
        <f>IF(H28=0,0,I28/H28)</f>
        <v>1.543556329605376</v>
      </c>
    </row>
    <row r="29" spans="1:11" x14ac:dyDescent="0.2">
      <c r="A29" s="228" t="s">
        <v>5</v>
      </c>
      <c r="B29" s="229">
        <f>SUM(B25:B28)</f>
        <v>6455870.2000000011</v>
      </c>
      <c r="C29" s="229">
        <f>SUM(C25:C28)</f>
        <v>4040790.5899999989</v>
      </c>
      <c r="D29" s="229">
        <f>SUM(D25:D28)</f>
        <v>68994.87999999999</v>
      </c>
      <c r="E29" s="229">
        <f>SUM(E25:E28)</f>
        <v>4109785.4699999993</v>
      </c>
      <c r="F29" s="229">
        <f>SUM(F25:F28)</f>
        <v>2346084.7300000023</v>
      </c>
      <c r="G29" s="231">
        <f>IF(B29=0,0,E29/B29)</f>
        <v>0.6365966698029335</v>
      </c>
      <c r="H29" s="232">
        <f>SUM(H25:H28)</f>
        <v>87300</v>
      </c>
      <c r="I29" s="232">
        <f>SUM(I25:I28)</f>
        <v>85596.3</v>
      </c>
      <c r="J29" s="232">
        <f>SUM(J25:J28)</f>
        <v>1703.7000000000071</v>
      </c>
      <c r="K29" s="231">
        <f>IF(H29=0,0,I29/H29)</f>
        <v>0.98048453608247421</v>
      </c>
    </row>
    <row r="32" spans="1:11" ht="15.75" x14ac:dyDescent="0.25">
      <c r="A32" s="215" t="s">
        <v>548</v>
      </c>
      <c r="B32" s="216"/>
      <c r="C32" s="216"/>
      <c r="D32" s="216"/>
      <c r="E32" s="216"/>
      <c r="F32" s="216"/>
      <c r="G32" s="216"/>
      <c r="H32" s="216"/>
      <c r="I32" s="216"/>
      <c r="J32" s="216"/>
      <c r="K32" s="216"/>
    </row>
    <row r="34" spans="1:11" x14ac:dyDescent="0.2">
      <c r="A34" s="224" t="s">
        <v>549</v>
      </c>
      <c r="B34" s="224" t="s">
        <v>507</v>
      </c>
      <c r="C34" s="224" t="s">
        <v>506</v>
      </c>
      <c r="D34" s="224" t="s">
        <v>504</v>
      </c>
      <c r="E34" s="224" t="s">
        <v>550</v>
      </c>
      <c r="F34" s="224" t="s">
        <v>551</v>
      </c>
    </row>
    <row r="35" spans="1:11" x14ac:dyDescent="0.2">
      <c r="A35" s="217" t="s">
        <v>508</v>
      </c>
      <c r="B35" s="225">
        <f>'Facturation Client'!E50*0.5</f>
        <v>1215119.8462500002</v>
      </c>
      <c r="C35" s="225">
        <f>'Facturation Client'!E50*0.25</f>
        <v>607559.92312500009</v>
      </c>
      <c r="D35" s="225">
        <f>'Facturation Client'!E50*0.25</f>
        <v>607559.92312500009</v>
      </c>
      <c r="E35" s="230">
        <f>SUM(B35:D35)</f>
        <v>2430239.6925000004</v>
      </c>
      <c r="F35" s="222">
        <f>IF($E$39=0,0,E35/$E$39)</f>
        <v>0.38886098375360961</v>
      </c>
    </row>
    <row r="36" spans="1:11" x14ac:dyDescent="0.2">
      <c r="A36" s="217" t="s">
        <v>509</v>
      </c>
      <c r="B36" s="225">
        <f>'Facturation Client'!F50*0.5</f>
        <v>632831.63125000009</v>
      </c>
      <c r="C36" s="225">
        <f>'Facturation Client'!F50*0.25</f>
        <v>316415.81562500005</v>
      </c>
      <c r="D36" s="225">
        <f>'Facturation Client'!F50*0.25</f>
        <v>316415.81562500005</v>
      </c>
      <c r="E36" s="230">
        <f>SUM(B36:D36)</f>
        <v>1265663.2625000002</v>
      </c>
      <c r="F36" s="222">
        <f>IF($E$39=0,0,E36/$E$39)</f>
        <v>0.20251790919037221</v>
      </c>
    </row>
    <row r="37" spans="1:11" x14ac:dyDescent="0.2">
      <c r="A37" s="217" t="s">
        <v>510</v>
      </c>
      <c r="B37" s="225">
        <f>'Facturation Client'!G50*0.5</f>
        <v>630905.37125000008</v>
      </c>
      <c r="C37" s="225">
        <f>'Facturation Client'!G50*0.25</f>
        <v>315452.68562500004</v>
      </c>
      <c r="D37" s="225">
        <f>'Facturation Client'!G50*0.25</f>
        <v>315452.68562500004</v>
      </c>
      <c r="E37" s="230">
        <f>SUM(B37:D37)</f>
        <v>1261810.7425000002</v>
      </c>
      <c r="F37" s="222">
        <f>IF($E$39=0,0,E37/$E$39)</f>
        <v>0.20190147011164522</v>
      </c>
    </row>
    <row r="38" spans="1:11" x14ac:dyDescent="0.2">
      <c r="A38" s="217" t="s">
        <v>511</v>
      </c>
      <c r="B38" s="225">
        <f>'Facturation Client'!H50*0.5</f>
        <v>645961.2662500001</v>
      </c>
      <c r="C38" s="225">
        <f>'Facturation Client'!H50*0.25</f>
        <v>322980.63312500005</v>
      </c>
      <c r="D38" s="225">
        <f>'Facturation Client'!H50*0.25</f>
        <v>322980.63312500005</v>
      </c>
      <c r="E38" s="230">
        <f>SUM(B38:D38)</f>
        <v>1291922.5325000002</v>
      </c>
      <c r="F38" s="222">
        <f>IF($E$39=0,0,E38/$E$39)</f>
        <v>0.20671963694437301</v>
      </c>
    </row>
    <row r="39" spans="1:11" x14ac:dyDescent="0.2">
      <c r="A39" s="228" t="s">
        <v>552</v>
      </c>
      <c r="B39" s="229">
        <f>SUM(B35:B38)</f>
        <v>3124818.1150000002</v>
      </c>
      <c r="C39" s="229">
        <f>SUM(C35:C38)</f>
        <v>1562409.0575000001</v>
      </c>
      <c r="D39" s="229">
        <f>SUM(D35:D38)</f>
        <v>1562409.0575000001</v>
      </c>
      <c r="E39" s="229">
        <f>SUM(E35:E38)</f>
        <v>6249636.2300000004</v>
      </c>
      <c r="F39" s="231">
        <f>SUM(F35:F38)</f>
        <v>1</v>
      </c>
    </row>
    <row r="40" spans="1:11" x14ac:dyDescent="0.2">
      <c r="A40" s="233" t="s">
        <v>553</v>
      </c>
      <c r="B40" s="235">
        <f>IF($E$39=0,0,B39/$E$39)</f>
        <v>0.5</v>
      </c>
      <c r="C40" s="235">
        <f>IF($E$39=0,0,C39/$E$39)</f>
        <v>0.25</v>
      </c>
      <c r="D40" s="235">
        <f>IF($E$39=0,0,D39/$E$39)</f>
        <v>0.25</v>
      </c>
      <c r="E40" s="236">
        <f>SUM(B40:D40)</f>
        <v>1</v>
      </c>
      <c r="F40" s="234"/>
    </row>
    <row r="43" spans="1:11" ht="15.75" x14ac:dyDescent="0.25">
      <c r="A43" s="215" t="s">
        <v>554</v>
      </c>
      <c r="B43" s="216"/>
      <c r="C43" s="216"/>
      <c r="D43" s="216"/>
      <c r="E43" s="216"/>
      <c r="F43" s="216"/>
      <c r="G43" s="216"/>
      <c r="H43" s="216"/>
      <c r="I43" s="216"/>
      <c r="J43" s="216"/>
      <c r="K43" s="216"/>
    </row>
    <row r="45" spans="1:11" x14ac:dyDescent="0.2">
      <c r="A45" s="237" t="s">
        <v>18</v>
      </c>
      <c r="B45" s="238"/>
      <c r="C45" s="238"/>
      <c r="D45" s="238"/>
    </row>
    <row r="46" spans="1:11" x14ac:dyDescent="0.2">
      <c r="A46" s="239" t="s">
        <v>555</v>
      </c>
      <c r="B46" s="226">
        <f>F19</f>
        <v>87300</v>
      </c>
      <c r="C46" s="220" t="s">
        <v>523</v>
      </c>
      <c r="G46" t="s">
        <v>568</v>
      </c>
    </row>
    <row r="47" spans="1:11" x14ac:dyDescent="0.2">
      <c r="A47" s="239" t="s">
        <v>556</v>
      </c>
      <c r="B47" s="227">
        <f>consolidé!D82</f>
        <v>57354.55</v>
      </c>
    </row>
    <row r="48" spans="1:11" x14ac:dyDescent="0.2">
      <c r="A48" s="239" t="s">
        <v>557</v>
      </c>
      <c r="B48" s="227">
        <f>B46-B47</f>
        <v>29945.449999999997</v>
      </c>
    </row>
    <row r="49" spans="1:6" x14ac:dyDescent="0.2">
      <c r="A49" s="239" t="s">
        <v>558</v>
      </c>
      <c r="B49" s="222">
        <f>IF(B46=0,0,B47/B46)</f>
        <v>0.65698224513172965</v>
      </c>
    </row>
    <row r="51" spans="1:6" x14ac:dyDescent="0.2">
      <c r="A51" s="237" t="s">
        <v>559</v>
      </c>
      <c r="B51" s="238"/>
      <c r="C51" s="238"/>
      <c r="D51" s="238"/>
    </row>
    <row r="52" spans="1:6" x14ac:dyDescent="0.2">
      <c r="A52" s="239" t="s">
        <v>560</v>
      </c>
      <c r="B52" s="221">
        <f>IF(B47=0,0,B6/B47)</f>
        <v>108.96495971113016</v>
      </c>
      <c r="C52" t="s">
        <v>561</v>
      </c>
    </row>
    <row r="53" spans="1:6" x14ac:dyDescent="0.2">
      <c r="A53" s="239" t="s">
        <v>562</v>
      </c>
      <c r="B53" s="222">
        <f>IF(B5=0,0,consolidé!N68/B5)</f>
        <v>0.60178722878787883</v>
      </c>
    </row>
    <row r="54" spans="1:6" x14ac:dyDescent="0.2">
      <c r="A54" s="239" t="s">
        <v>563</v>
      </c>
      <c r="B54" s="221">
        <f>consolidé!Q68</f>
        <v>450633.01</v>
      </c>
    </row>
    <row r="55" spans="1:6" x14ac:dyDescent="0.2">
      <c r="A55" s="239" t="s">
        <v>564</v>
      </c>
      <c r="B55" s="221">
        <f>B5-consolidé!N68-consolidé!O68-consolidé!Q68</f>
        <v>2108576.4000000004</v>
      </c>
    </row>
    <row r="57" spans="1:6" x14ac:dyDescent="0.2">
      <c r="A57" s="240" t="s">
        <v>565</v>
      </c>
      <c r="B57" s="241"/>
      <c r="C57" s="241"/>
      <c r="D57" s="241"/>
      <c r="E57" s="241"/>
      <c r="F57" s="241"/>
    </row>
    <row r="58" spans="1:6" x14ac:dyDescent="0.2">
      <c r="A58" s="242" t="s">
        <v>566</v>
      </c>
    </row>
    <row r="59" spans="1:6" x14ac:dyDescent="0.2">
      <c r="A59" s="243" t="s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G110"/>
  <sheetViews>
    <sheetView showGridLines="0" zoomScaleNormal="100" workbookViewId="0">
      <pane xSplit="1" ySplit="3" topLeftCell="B23" activePane="bottomRight" state="frozen"/>
      <selection pane="topRight" activeCell="B1" sqref="B1"/>
      <selection pane="bottomLeft" activeCell="A4" sqref="A4"/>
      <selection pane="bottomRight" activeCell="A48" sqref="A48"/>
    </sheetView>
  </sheetViews>
  <sheetFormatPr baseColWidth="10" defaultColWidth="11.42578125" defaultRowHeight="12.75" x14ac:dyDescent="0.2"/>
  <cols>
    <col min="1" max="1" width="16.85546875" style="51" bestFit="1" customWidth="1"/>
    <col min="2" max="2" width="17" style="4" customWidth="1"/>
    <col min="3" max="4" width="16.7109375" style="4" customWidth="1"/>
    <col min="5" max="5" width="17.140625" style="4" customWidth="1"/>
    <col min="6" max="7" width="15.28515625" style="4" customWidth="1"/>
    <col min="8" max="8" width="17.7109375" style="4" customWidth="1"/>
    <col min="9" max="10" width="16.7109375" style="4" customWidth="1"/>
    <col min="11" max="11" width="17.7109375" style="4" customWidth="1"/>
    <col min="12" max="13" width="16.7109375" style="4" customWidth="1"/>
    <col min="14" max="14" width="15.85546875" style="19" customWidth="1"/>
    <col min="15" max="15" width="15.28515625" style="4" customWidth="1"/>
    <col min="16" max="17" width="15.140625" style="1" customWidth="1"/>
    <col min="18" max="18" width="15" style="1" customWidth="1"/>
    <col min="19" max="19" width="15.85546875" style="1" customWidth="1"/>
    <col min="20" max="16384" width="11.42578125" style="1"/>
  </cols>
  <sheetData>
    <row r="1" spans="1:137" s="101" customFormat="1" ht="21.75" customHeight="1" thickBot="1" x14ac:dyDescent="0.3">
      <c r="A1" s="156"/>
      <c r="B1" s="100" t="s">
        <v>34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</row>
    <row r="2" spans="1:137" s="75" customFormat="1" ht="23.25" customHeight="1" thickBot="1" x14ac:dyDescent="0.3">
      <c r="A2" s="155"/>
      <c r="B2" s="246" t="s">
        <v>504</v>
      </c>
      <c r="C2" s="247"/>
      <c r="D2" s="248"/>
      <c r="E2" s="246" t="s">
        <v>504</v>
      </c>
      <c r="F2" s="247"/>
      <c r="G2" s="248"/>
      <c r="H2" s="246" t="s">
        <v>506</v>
      </c>
      <c r="I2" s="247"/>
      <c r="J2" s="248"/>
      <c r="K2" s="246" t="s">
        <v>507</v>
      </c>
      <c r="L2" s="247"/>
      <c r="M2" s="248"/>
      <c r="N2" s="244" t="s">
        <v>14</v>
      </c>
      <c r="O2" s="245"/>
      <c r="P2" s="180"/>
      <c r="Q2" s="181"/>
      <c r="R2" s="181"/>
      <c r="S2" s="18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</row>
    <row r="3" spans="1:137" s="75" customFormat="1" ht="30.75" customHeight="1" thickBot="1" x14ac:dyDescent="0.25">
      <c r="A3" s="94" t="s">
        <v>6</v>
      </c>
      <c r="B3" s="95" t="s">
        <v>7</v>
      </c>
      <c r="C3" s="96" t="s">
        <v>8</v>
      </c>
      <c r="D3" s="97" t="s">
        <v>12</v>
      </c>
      <c r="E3" s="96" t="s">
        <v>7</v>
      </c>
      <c r="F3" s="96" t="s">
        <v>8</v>
      </c>
      <c r="G3" s="96" t="s">
        <v>12</v>
      </c>
      <c r="H3" s="95" t="s">
        <v>7</v>
      </c>
      <c r="I3" s="96" t="s">
        <v>8</v>
      </c>
      <c r="J3" s="97" t="s">
        <v>12</v>
      </c>
      <c r="K3" s="95" t="s">
        <v>7</v>
      </c>
      <c r="L3" s="96" t="s">
        <v>8</v>
      </c>
      <c r="M3" s="97" t="s">
        <v>12</v>
      </c>
      <c r="N3" s="98" t="s">
        <v>13</v>
      </c>
      <c r="O3" s="99" t="s">
        <v>12</v>
      </c>
      <c r="P3" s="146" t="s">
        <v>22</v>
      </c>
      <c r="Q3" s="97" t="s">
        <v>166</v>
      </c>
      <c r="R3" s="146" t="s">
        <v>32</v>
      </c>
      <c r="S3" s="146" t="s">
        <v>23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</row>
    <row r="4" spans="1:137" ht="17.25" customHeight="1" x14ac:dyDescent="0.2">
      <c r="A4" s="52" t="s">
        <v>69</v>
      </c>
      <c r="B4" s="173">
        <f>+'Société C-1'!F4</f>
        <v>0</v>
      </c>
      <c r="C4" s="174">
        <f>+'Société C-1'!G4</f>
        <v>25530.13</v>
      </c>
      <c r="D4" s="175">
        <f>+'Société C-1'!H4</f>
        <v>372.18</v>
      </c>
      <c r="E4" s="174">
        <f>+'Société C-2'!F4</f>
        <v>0</v>
      </c>
      <c r="F4" s="174">
        <f>+'Société C-2'!G4</f>
        <v>0</v>
      </c>
      <c r="G4" s="176">
        <f>+'Société C-2'!H4</f>
        <v>0</v>
      </c>
      <c r="H4" s="173">
        <f>+'Société B'!F4</f>
        <v>5218.75</v>
      </c>
      <c r="I4" s="174">
        <f>+'Société B'!G4</f>
        <v>22959.22</v>
      </c>
      <c r="J4" s="175">
        <f>+'Société B'!H4</f>
        <v>0</v>
      </c>
      <c r="K4" s="173">
        <f>+'Société A'!F4</f>
        <v>29893.75</v>
      </c>
      <c r="L4" s="174">
        <f>+'Société A'!G4</f>
        <v>15393.69</v>
      </c>
      <c r="M4" s="175">
        <f>+'Société A'!H4</f>
        <v>6075.25</v>
      </c>
      <c r="N4" s="177">
        <f>+B4+C4+E4+F4+H4+I4+K4+L4</f>
        <v>98995.540000000008</v>
      </c>
      <c r="O4" s="175">
        <f>+D4+G4+M4+J4</f>
        <v>6447.43</v>
      </c>
      <c r="P4" s="178">
        <f>+'Facturation Client'!I5</f>
        <v>0</v>
      </c>
      <c r="Q4" s="178">
        <v>0</v>
      </c>
      <c r="R4" s="183">
        <f>(P4-O4-Q4)/(N4/1.9)</f>
        <v>-0.12374413029112219</v>
      </c>
      <c r="S4" s="186">
        <f>+P4-N4-O4-Q4</f>
        <v>-105442.97</v>
      </c>
      <c r="T4"/>
    </row>
    <row r="5" spans="1:137" ht="17.25" customHeight="1" x14ac:dyDescent="0.2">
      <c r="A5" s="52">
        <v>44044</v>
      </c>
      <c r="B5" s="173">
        <f>+'Société C-1'!F5</f>
        <v>0</v>
      </c>
      <c r="C5" s="174">
        <f>+'Société C-1'!G5</f>
        <v>14942.08</v>
      </c>
      <c r="D5" s="175">
        <f>+'Société C-1'!H5</f>
        <v>131.5</v>
      </c>
      <c r="E5" s="174">
        <f>+'Société C-2'!F5</f>
        <v>1656.25</v>
      </c>
      <c r="F5" s="174">
        <f>+'Société C-2'!G5</f>
        <v>369.25</v>
      </c>
      <c r="G5" s="174">
        <f>+'Société C-2'!H5</f>
        <v>0</v>
      </c>
      <c r="H5" s="173">
        <f>+'Société B'!F5</f>
        <v>1062.5</v>
      </c>
      <c r="I5" s="174">
        <f>+'Société B'!G5</f>
        <v>18334.669999999998</v>
      </c>
      <c r="J5" s="175">
        <f>+'Société B'!H5</f>
        <v>0</v>
      </c>
      <c r="K5" s="173">
        <f>+'Société A'!F5</f>
        <v>17850</v>
      </c>
      <c r="L5" s="174">
        <f>+'Société A'!G5</f>
        <v>15023.599999999999</v>
      </c>
      <c r="M5" s="175">
        <f>+'Société A'!H5</f>
        <v>0</v>
      </c>
      <c r="N5" s="177">
        <f t="shared" ref="N5:N23" si="0">+B5+C5+E5+F5+H5+I5+K5+L5</f>
        <v>69238.350000000006</v>
      </c>
      <c r="O5" s="175">
        <f t="shared" ref="O5:O23" si="1">+D5+G5+M5+J5</f>
        <v>131.5</v>
      </c>
      <c r="P5" s="179">
        <f>+'Facturation Client'!I6</f>
        <v>275812.61</v>
      </c>
      <c r="Q5" s="179">
        <v>0</v>
      </c>
      <c r="R5" s="184">
        <f>(P5-O5-Q5)/(N5/1.9)</f>
        <v>7.5650865308026534</v>
      </c>
      <c r="S5" s="186">
        <f t="shared" ref="S5:S28" si="2">+P5-N5-O5-Q5</f>
        <v>206442.75999999998</v>
      </c>
      <c r="T5"/>
    </row>
    <row r="6" spans="1:137" ht="17.25" customHeight="1" x14ac:dyDescent="0.2">
      <c r="A6" s="52">
        <v>44075</v>
      </c>
      <c r="B6" s="173">
        <f>+'Société C-1'!F6</f>
        <v>437.5</v>
      </c>
      <c r="C6" s="174">
        <f>+'Société C-1'!G6</f>
        <v>44540.91</v>
      </c>
      <c r="D6" s="175">
        <f>+'Société C-1'!H6</f>
        <v>120.32</v>
      </c>
      <c r="E6" s="174">
        <f>+'Société C-2'!F6</f>
        <v>512.5</v>
      </c>
      <c r="F6" s="174">
        <f>+'Société C-2'!G6</f>
        <v>9144.25</v>
      </c>
      <c r="G6" s="174">
        <f>+'Société C-2'!H6</f>
        <v>200.35</v>
      </c>
      <c r="H6" s="173">
        <f>+'Société B'!F6</f>
        <v>1937.5</v>
      </c>
      <c r="I6" s="174">
        <f>+'Société B'!G6</f>
        <v>26068.52</v>
      </c>
      <c r="J6" s="175">
        <f>+'Société B'!H6</f>
        <v>3877.5</v>
      </c>
      <c r="K6" s="173">
        <f>+'Société A'!F6</f>
        <v>37762.5</v>
      </c>
      <c r="L6" s="174">
        <f>+'Société A'!G6</f>
        <v>34256.100000000006</v>
      </c>
      <c r="M6" s="175">
        <f>+'Société A'!H6</f>
        <v>293.45</v>
      </c>
      <c r="N6" s="177">
        <f t="shared" si="0"/>
        <v>154659.78000000003</v>
      </c>
      <c r="O6" s="175">
        <f t="shared" ref="O6:O19" si="3">+D6+G6+M6+J6</f>
        <v>4491.62</v>
      </c>
      <c r="P6" s="179">
        <f>+'Facturation Client'!I7</f>
        <v>245169.32</v>
      </c>
      <c r="Q6" s="179">
        <v>0</v>
      </c>
      <c r="R6" s="184">
        <f t="shared" ref="R6:R57" si="4">(P6-O6-Q6)/(N6/1.9)</f>
        <v>2.9567327071071738</v>
      </c>
      <c r="S6" s="186">
        <f t="shared" si="2"/>
        <v>86017.919999999984</v>
      </c>
      <c r="T6"/>
    </row>
    <row r="7" spans="1:137" ht="17.25" customHeight="1" x14ac:dyDescent="0.2">
      <c r="A7" s="52">
        <v>44105</v>
      </c>
      <c r="B7" s="173">
        <f>+'Société C-1'!F7</f>
        <v>0</v>
      </c>
      <c r="C7" s="174">
        <f>+'Société C-1'!G7</f>
        <v>34001.71</v>
      </c>
      <c r="D7" s="175">
        <f>+'Société C-1'!H7</f>
        <v>157.65</v>
      </c>
      <c r="E7" s="174">
        <f>+'Société C-2'!F7</f>
        <v>256.25</v>
      </c>
      <c r="F7" s="174">
        <f>+'Société C-2'!G7</f>
        <v>10624.75</v>
      </c>
      <c r="G7" s="174">
        <f>+'Société C-2'!H7</f>
        <v>0</v>
      </c>
      <c r="H7" s="173">
        <f>+'Société B'!F7</f>
        <v>2031.25</v>
      </c>
      <c r="I7" s="174">
        <f>+'Société B'!G7</f>
        <v>35031.21</v>
      </c>
      <c r="J7" s="175">
        <f>+'Société B'!H7</f>
        <v>0</v>
      </c>
      <c r="K7" s="173">
        <f>+'Société A'!F7</f>
        <v>38250</v>
      </c>
      <c r="L7" s="174">
        <f>+'Société A'!G7</f>
        <v>38774.44</v>
      </c>
      <c r="M7" s="175">
        <f>+'Société A'!H7</f>
        <v>0</v>
      </c>
      <c r="N7" s="177">
        <f t="shared" si="0"/>
        <v>158969.60999999999</v>
      </c>
      <c r="O7" s="175">
        <f t="shared" si="3"/>
        <v>157.65</v>
      </c>
      <c r="P7" s="179">
        <f>+'Facturation Client'!I8</f>
        <v>261771.33</v>
      </c>
      <c r="Q7" s="179">
        <f>387.5+1950</f>
        <v>2337.5</v>
      </c>
      <c r="R7" s="184">
        <f t="shared" si="4"/>
        <v>3.0988611093654947</v>
      </c>
      <c r="S7" s="186">
        <f t="shared" si="2"/>
        <v>100306.57</v>
      </c>
      <c r="T7"/>
    </row>
    <row r="8" spans="1:137" ht="17.25" customHeight="1" x14ac:dyDescent="0.2">
      <c r="A8" s="52">
        <v>44136</v>
      </c>
      <c r="B8" s="173">
        <f>+'Société C-1'!F8</f>
        <v>0</v>
      </c>
      <c r="C8" s="174">
        <f>+'Société C-1'!G8</f>
        <v>42751.38</v>
      </c>
      <c r="D8" s="175">
        <f>+'Société C-1'!H8</f>
        <v>0</v>
      </c>
      <c r="E8" s="174">
        <f>+'Société C-2'!F8</f>
        <v>381.25</v>
      </c>
      <c r="F8" s="174">
        <f>+'Société C-2'!G8</f>
        <v>11885.45</v>
      </c>
      <c r="G8" s="174">
        <f>+'Société C-2'!H8</f>
        <v>0</v>
      </c>
      <c r="H8" s="173">
        <f>+'Société B'!F8</f>
        <v>1531.25</v>
      </c>
      <c r="I8" s="174">
        <f>+'Société B'!G8</f>
        <v>31719.510000000002</v>
      </c>
      <c r="J8" s="175">
        <f>+'Société B'!H8</f>
        <v>0</v>
      </c>
      <c r="K8" s="173">
        <f>+'Société A'!F8</f>
        <v>35681.25</v>
      </c>
      <c r="L8" s="174">
        <f>+'Société A'!G8</f>
        <v>34580.050000000003</v>
      </c>
      <c r="M8" s="175">
        <f>+'Société A'!H8</f>
        <v>0</v>
      </c>
      <c r="N8" s="177">
        <f t="shared" si="0"/>
        <v>158530.14000000001</v>
      </c>
      <c r="O8" s="175">
        <f t="shared" si="3"/>
        <v>0</v>
      </c>
      <c r="P8" s="179">
        <f>+'Facturation Client'!I9</f>
        <v>318143.25</v>
      </c>
      <c r="Q8" s="179">
        <f>1540+1445+1760+5100+2390</f>
        <v>12235</v>
      </c>
      <c r="R8" s="184">
        <f t="shared" si="4"/>
        <v>3.6663417757657939</v>
      </c>
      <c r="S8" s="186">
        <f t="shared" si="2"/>
        <v>147378.10999999999</v>
      </c>
      <c r="T8"/>
    </row>
    <row r="9" spans="1:137" ht="17.25" customHeight="1" x14ac:dyDescent="0.2">
      <c r="A9" s="52">
        <v>44166</v>
      </c>
      <c r="B9" s="173">
        <f>+'Société C-1'!F9</f>
        <v>312.5</v>
      </c>
      <c r="C9" s="174">
        <f>+'Société C-1'!G9</f>
        <v>33356.76</v>
      </c>
      <c r="D9" s="175">
        <f>+'Société C-1'!H9</f>
        <v>268.58</v>
      </c>
      <c r="E9" s="174">
        <f>+'Société C-2'!F9</f>
        <v>256.25</v>
      </c>
      <c r="F9" s="174">
        <f>+'Société C-2'!G9</f>
        <v>12697.04</v>
      </c>
      <c r="G9" s="174">
        <f>+'Société C-2'!H9</f>
        <v>0</v>
      </c>
      <c r="H9" s="173">
        <f>+'Société B'!F9</f>
        <v>2000</v>
      </c>
      <c r="I9" s="174">
        <f>+'Société B'!G9</f>
        <v>38933.39</v>
      </c>
      <c r="J9" s="175">
        <f>+'Société B'!H9</f>
        <v>0</v>
      </c>
      <c r="K9" s="173">
        <f>+'Société A'!F9</f>
        <v>28606.25</v>
      </c>
      <c r="L9" s="174">
        <f>+'Société A'!G9</f>
        <v>31501.67</v>
      </c>
      <c r="M9" s="175">
        <f>+'Société A'!H9</f>
        <v>178.9</v>
      </c>
      <c r="N9" s="177">
        <f t="shared" si="0"/>
        <v>147663.85999999999</v>
      </c>
      <c r="O9" s="175">
        <f t="shared" si="3"/>
        <v>447.48</v>
      </c>
      <c r="P9" s="179">
        <f>+'Facturation Client'!I10</f>
        <v>254673.02</v>
      </c>
      <c r="Q9" s="179">
        <f>16812.5+7855+14775+8160+8790</f>
        <v>56392.5</v>
      </c>
      <c r="R9" s="184">
        <f t="shared" si="4"/>
        <v>2.5455299353545273</v>
      </c>
      <c r="S9" s="186">
        <f t="shared" si="2"/>
        <v>50169.180000000008</v>
      </c>
      <c r="T9"/>
    </row>
    <row r="10" spans="1:137" ht="17.25" customHeight="1" x14ac:dyDescent="0.2">
      <c r="A10" s="52">
        <v>44197</v>
      </c>
      <c r="B10" s="173">
        <f>+'Société C-1'!F10</f>
        <v>0</v>
      </c>
      <c r="C10" s="174">
        <f>+'Société C-1'!G10</f>
        <v>48962.879999999997</v>
      </c>
      <c r="D10" s="175">
        <f>+'Société C-1'!H10</f>
        <v>13</v>
      </c>
      <c r="E10" s="174">
        <f>+'Société C-2'!F10</f>
        <v>250</v>
      </c>
      <c r="F10" s="174">
        <f>+'Société C-2'!G10</f>
        <v>17698.5</v>
      </c>
      <c r="G10" s="174">
        <f>+'Société C-2'!H10</f>
        <v>0</v>
      </c>
      <c r="H10" s="173">
        <f>+'Société B'!F10</f>
        <v>1500</v>
      </c>
      <c r="I10" s="174">
        <f>+'Société B'!G10</f>
        <v>42429.39</v>
      </c>
      <c r="J10" s="175">
        <f>+'Société B'!H10</f>
        <v>0</v>
      </c>
      <c r="K10" s="173">
        <f>+'Société A'!F10</f>
        <v>32043.75</v>
      </c>
      <c r="L10" s="174">
        <f>+'Société A'!G10</f>
        <v>40191.300000000003</v>
      </c>
      <c r="M10" s="175">
        <f>+'Société A'!H10</f>
        <v>0</v>
      </c>
      <c r="N10" s="177">
        <f t="shared" si="0"/>
        <v>183075.82</v>
      </c>
      <c r="O10" s="175">
        <f t="shared" si="3"/>
        <v>13</v>
      </c>
      <c r="P10" s="179">
        <f>+'Facturation Client'!I11</f>
        <v>961930</v>
      </c>
      <c r="Q10" s="179">
        <f>745+19315+5400+6900+7200+3600+6650+8450+16425+6100</f>
        <v>80785</v>
      </c>
      <c r="R10" s="184">
        <f t="shared" si="4"/>
        <v>9.1445762744637715</v>
      </c>
      <c r="S10" s="186">
        <f t="shared" si="2"/>
        <v>698056.17999999993</v>
      </c>
      <c r="T10"/>
    </row>
    <row r="11" spans="1:137" ht="17.25" customHeight="1" x14ac:dyDescent="0.2">
      <c r="A11" s="52">
        <v>44228</v>
      </c>
      <c r="B11" s="173">
        <f>+'Société C-1'!F11</f>
        <v>125</v>
      </c>
      <c r="C11" s="174">
        <f>+'Société C-1'!G11</f>
        <v>53139.43</v>
      </c>
      <c r="D11" s="175">
        <f>+'Société C-1'!H11</f>
        <v>0</v>
      </c>
      <c r="E11" s="174">
        <f>+'Société C-2'!F11</f>
        <v>1150</v>
      </c>
      <c r="F11" s="174">
        <f>+'Société C-2'!G11</f>
        <v>16934.05</v>
      </c>
      <c r="G11" s="174">
        <f>+'Société C-2'!H11</f>
        <v>0</v>
      </c>
      <c r="H11" s="173">
        <f>+'Société B'!F11</f>
        <v>1406.25</v>
      </c>
      <c r="I11" s="174">
        <f>+'Société B'!G11</f>
        <v>37715.199999999997</v>
      </c>
      <c r="J11" s="175">
        <f>+'Société B'!H11</f>
        <v>0</v>
      </c>
      <c r="K11" s="173">
        <f>+'Société A'!F11</f>
        <v>30793.75</v>
      </c>
      <c r="L11" s="174">
        <f>+'Société A'!G11</f>
        <v>58682.039999999994</v>
      </c>
      <c r="M11" s="175">
        <f>+'Société A'!H11</f>
        <v>2117.25</v>
      </c>
      <c r="N11" s="177">
        <f t="shared" si="0"/>
        <v>199945.71999999997</v>
      </c>
      <c r="O11" s="175">
        <f t="shared" si="3"/>
        <v>2117.25</v>
      </c>
      <c r="P11" s="179">
        <f>+'Facturation Client'!I12</f>
        <v>0</v>
      </c>
      <c r="Q11" s="179">
        <f>323.75+4430+1333+23211.25+6480</f>
        <v>35778</v>
      </c>
      <c r="R11" s="184">
        <f t="shared" si="4"/>
        <v>-0.36010260684749845</v>
      </c>
      <c r="S11" s="186">
        <f t="shared" si="2"/>
        <v>-237840.96999999997</v>
      </c>
      <c r="T11"/>
    </row>
    <row r="12" spans="1:137" ht="17.25" customHeight="1" x14ac:dyDescent="0.2">
      <c r="A12" s="52">
        <v>44256</v>
      </c>
      <c r="B12" s="173">
        <f>+'Société C-1'!F12</f>
        <v>0</v>
      </c>
      <c r="C12" s="174">
        <f>+'Société C-1'!G12</f>
        <v>17723.03</v>
      </c>
      <c r="D12" s="175">
        <f>+'Société C-1'!H12</f>
        <v>0</v>
      </c>
      <c r="E12" s="174">
        <f>+'Société C-2'!F12</f>
        <v>0</v>
      </c>
      <c r="F12" s="174">
        <f>+'Société C-2'!G12</f>
        <v>19233.939999999999</v>
      </c>
      <c r="G12" s="174">
        <f>+'Société C-2'!H12</f>
        <v>163.65</v>
      </c>
      <c r="H12" s="173">
        <f>+'Société B'!F12</f>
        <v>1125</v>
      </c>
      <c r="I12" s="174">
        <f>+'Société B'!G12</f>
        <v>33288.080000000002</v>
      </c>
      <c r="J12" s="175">
        <f>+'Société B'!H12</f>
        <v>0</v>
      </c>
      <c r="K12" s="173">
        <f>+'Société A'!F12</f>
        <v>22350</v>
      </c>
      <c r="L12" s="174">
        <f>+'Société A'!G12</f>
        <v>61740.45</v>
      </c>
      <c r="M12" s="175">
        <f>+'Société A'!H12</f>
        <v>268.25</v>
      </c>
      <c r="N12" s="177">
        <f t="shared" si="0"/>
        <v>155460.5</v>
      </c>
      <c r="O12" s="175">
        <f t="shared" si="3"/>
        <v>431.9</v>
      </c>
      <c r="P12" s="179">
        <f>+'Facturation Client'!I13</f>
        <v>0</v>
      </c>
      <c r="Q12" s="179">
        <f>1138.75+15100+8625+1800+1800+1800</f>
        <v>30263.75</v>
      </c>
      <c r="R12" s="184">
        <f t="shared" si="4"/>
        <v>-0.37515468559537629</v>
      </c>
      <c r="S12" s="186">
        <f t="shared" si="2"/>
        <v>-186156.15</v>
      </c>
      <c r="T12"/>
    </row>
    <row r="13" spans="1:137" s="75" customFormat="1" ht="17.25" customHeight="1" x14ac:dyDescent="0.2">
      <c r="A13" s="52">
        <v>44287</v>
      </c>
      <c r="B13" s="173">
        <f>+'Société C-1'!F13</f>
        <v>500</v>
      </c>
      <c r="C13" s="174">
        <f>+'Société C-1'!G13</f>
        <v>29209.98</v>
      </c>
      <c r="D13" s="175">
        <f>+'Société C-1'!H13</f>
        <v>0</v>
      </c>
      <c r="E13" s="174">
        <f>+'Société C-2'!F13</f>
        <v>0</v>
      </c>
      <c r="F13" s="174">
        <f>+'Société C-2'!G13</f>
        <v>0</v>
      </c>
      <c r="G13" s="174">
        <f>+'Société C-2'!H13</f>
        <v>0</v>
      </c>
      <c r="H13" s="173">
        <f>+'Société B'!F13</f>
        <v>1187.5</v>
      </c>
      <c r="I13" s="174">
        <f>+'Société B'!G13</f>
        <v>23508.68</v>
      </c>
      <c r="J13" s="175">
        <f>+'Société B'!H13</f>
        <v>0</v>
      </c>
      <c r="K13" s="173">
        <f>+'Société A'!F13</f>
        <v>17325</v>
      </c>
      <c r="L13" s="174">
        <f>+'Société A'!G13</f>
        <v>50371.35</v>
      </c>
      <c r="M13" s="175">
        <f>+'Société A'!H13</f>
        <v>73.930000000000007</v>
      </c>
      <c r="N13" s="177">
        <f t="shared" si="0"/>
        <v>122102.51000000001</v>
      </c>
      <c r="O13" s="175">
        <f t="shared" si="3"/>
        <v>73.930000000000007</v>
      </c>
      <c r="P13" s="179">
        <f>+'Facturation Client'!I14</f>
        <v>0</v>
      </c>
      <c r="Q13" s="179">
        <f>2282.5+4230+3600+2700+1725</f>
        <v>14537.5</v>
      </c>
      <c r="R13" s="184">
        <f t="shared" si="4"/>
        <v>-0.22736401569468143</v>
      </c>
      <c r="S13" s="186">
        <f t="shared" si="2"/>
        <v>-136713.94</v>
      </c>
      <c r="T13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</row>
    <row r="14" spans="1:137" s="75" customFormat="1" ht="17.25" customHeight="1" x14ac:dyDescent="0.2">
      <c r="A14" s="52">
        <v>44317</v>
      </c>
      <c r="B14" s="173">
        <f>+'Société C-1'!F14</f>
        <v>500</v>
      </c>
      <c r="C14" s="174">
        <f>+'Société C-1'!G14</f>
        <v>11109.31</v>
      </c>
      <c r="D14" s="175">
        <f>+'Société C-1'!H14</f>
        <v>0</v>
      </c>
      <c r="E14" s="174">
        <f>+'Société C-2'!F14</f>
        <v>0</v>
      </c>
      <c r="F14" s="174">
        <f>+'Société C-2'!G14</f>
        <v>0</v>
      </c>
      <c r="G14" s="174">
        <f>+'Société C-2'!H14</f>
        <v>0</v>
      </c>
      <c r="H14" s="173">
        <f>+'Société B'!F14</f>
        <v>656.25</v>
      </c>
      <c r="I14" s="174">
        <f>+'Société B'!G14</f>
        <v>15562.81</v>
      </c>
      <c r="J14" s="175">
        <f>+'Société B'!H14</f>
        <v>0</v>
      </c>
      <c r="K14" s="173">
        <f>+'Société A'!F14</f>
        <v>12037.5</v>
      </c>
      <c r="L14" s="174">
        <f>+'Société A'!G14</f>
        <v>22791.899999999998</v>
      </c>
      <c r="M14" s="175">
        <f>+'Société A'!H14</f>
        <v>4.3</v>
      </c>
      <c r="N14" s="177">
        <f t="shared" si="0"/>
        <v>62657.76999999999</v>
      </c>
      <c r="O14" s="175">
        <f t="shared" si="3"/>
        <v>4.3</v>
      </c>
      <c r="P14" s="179">
        <f>+'Facturation Client'!I15</f>
        <v>0</v>
      </c>
      <c r="Q14" s="179">
        <f>9750+3337.5+6105+2700+1800</f>
        <v>23692.5</v>
      </c>
      <c r="R14" s="184">
        <f t="shared" si="4"/>
        <v>-0.71856882235036457</v>
      </c>
      <c r="S14" s="186">
        <f t="shared" si="2"/>
        <v>-86354.569999999992</v>
      </c>
      <c r="T14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</row>
    <row r="15" spans="1:137" s="75" customFormat="1" ht="17.25" customHeight="1" x14ac:dyDescent="0.2">
      <c r="A15" s="52">
        <v>44348</v>
      </c>
      <c r="B15" s="173">
        <f>+'Société C-1'!F15</f>
        <v>500</v>
      </c>
      <c r="C15" s="174">
        <f>+'Société C-1'!G15</f>
        <v>5839.3600000000006</v>
      </c>
      <c r="D15" s="175">
        <f>+'Société C-1'!H15</f>
        <v>0</v>
      </c>
      <c r="E15" s="174">
        <f>+'Société C-2'!F15</f>
        <v>0</v>
      </c>
      <c r="F15" s="174">
        <f>+'Société C-2'!G15</f>
        <v>0</v>
      </c>
      <c r="G15" s="174">
        <f>+'Société C-2'!H15</f>
        <v>0</v>
      </c>
      <c r="H15" s="173">
        <f>+'Société B'!F15</f>
        <v>531.25</v>
      </c>
      <c r="I15" s="174">
        <f>+'Société B'!G15</f>
        <v>16538.39</v>
      </c>
      <c r="J15" s="175">
        <f>+'Société B'!H15</f>
        <v>0</v>
      </c>
      <c r="K15" s="173">
        <f>+'Société A'!F15</f>
        <v>10156.25</v>
      </c>
      <c r="L15" s="174">
        <f>+'Société A'!G15</f>
        <v>13574</v>
      </c>
      <c r="M15" s="175">
        <f>+'Société A'!H15</f>
        <v>0</v>
      </c>
      <c r="N15" s="177">
        <f t="shared" si="0"/>
        <v>47139.25</v>
      </c>
      <c r="O15" s="175">
        <f t="shared" si="3"/>
        <v>0</v>
      </c>
      <c r="P15" s="179">
        <f>+'Facturation Client'!I16</f>
        <v>0</v>
      </c>
      <c r="Q15" s="179">
        <f>416.25+885</f>
        <v>1301.25</v>
      </c>
      <c r="R15" s="184">
        <f t="shared" si="4"/>
        <v>-5.2448331273832312E-2</v>
      </c>
      <c r="S15" s="186">
        <f t="shared" si="2"/>
        <v>-48440.5</v>
      </c>
      <c r="T15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</row>
    <row r="16" spans="1:137" s="75" customFormat="1" ht="17.25" customHeight="1" x14ac:dyDescent="0.2">
      <c r="A16" s="52">
        <v>44378</v>
      </c>
      <c r="B16" s="173">
        <f>+'Société C-1'!F16</f>
        <v>375</v>
      </c>
      <c r="C16" s="174">
        <f>+'Société C-1'!G16</f>
        <v>769.98</v>
      </c>
      <c r="D16" s="175">
        <f>+'Société C-1'!H16</f>
        <v>0</v>
      </c>
      <c r="E16" s="174">
        <f>+'Société C-2'!F16</f>
        <v>0</v>
      </c>
      <c r="F16" s="174">
        <f>+'Société C-2'!G16</f>
        <v>0</v>
      </c>
      <c r="G16" s="174">
        <f>+'Société C-2'!H16</f>
        <v>0</v>
      </c>
      <c r="H16" s="173">
        <f>+'Société B'!F16</f>
        <v>250</v>
      </c>
      <c r="I16" s="174">
        <f>+'Société B'!G16</f>
        <v>6258.36</v>
      </c>
      <c r="J16" s="175">
        <f>+'Société B'!H16</f>
        <v>0</v>
      </c>
      <c r="K16" s="173">
        <f>+'Société A'!F16</f>
        <v>6575</v>
      </c>
      <c r="L16" s="174">
        <f>+'Société A'!G16</f>
        <v>5254.93</v>
      </c>
      <c r="M16" s="175">
        <f>+'Société A'!H16</f>
        <v>0</v>
      </c>
      <c r="N16" s="177">
        <f t="shared" si="0"/>
        <v>19483.27</v>
      </c>
      <c r="O16" s="175">
        <f t="shared" si="3"/>
        <v>0</v>
      </c>
      <c r="P16" s="179">
        <f>+'Facturation Client'!I17</f>
        <v>0</v>
      </c>
      <c r="Q16" s="179">
        <v>0</v>
      </c>
      <c r="R16" s="184">
        <f t="shared" si="4"/>
        <v>0</v>
      </c>
      <c r="S16" s="186">
        <f t="shared" si="2"/>
        <v>-19483.27</v>
      </c>
      <c r="T16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</row>
    <row r="17" spans="1:137" s="75" customFormat="1" ht="17.25" customHeight="1" x14ac:dyDescent="0.2">
      <c r="A17" s="52">
        <v>44409</v>
      </c>
      <c r="B17" s="173">
        <f>+'Société C-1'!F17</f>
        <v>625</v>
      </c>
      <c r="C17" s="174">
        <f>+'Société C-1'!G17</f>
        <v>1253.53</v>
      </c>
      <c r="D17" s="175">
        <f>+'Société C-1'!H17</f>
        <v>0</v>
      </c>
      <c r="E17" s="174">
        <f>+'Société C-2'!F17</f>
        <v>0</v>
      </c>
      <c r="F17" s="174">
        <f>+'Société C-2'!G17</f>
        <v>0</v>
      </c>
      <c r="G17" s="174">
        <f>+'Société C-2'!H17</f>
        <v>0</v>
      </c>
      <c r="H17" s="173">
        <f>+'Société B'!F17</f>
        <v>656.25</v>
      </c>
      <c r="I17" s="174">
        <f>+'Société B'!G17</f>
        <v>9237.1299999999992</v>
      </c>
      <c r="J17" s="175">
        <f>+'Société B'!H17</f>
        <v>0</v>
      </c>
      <c r="K17" s="173">
        <f>+'Société A'!F17</f>
        <v>8306.25</v>
      </c>
      <c r="L17" s="174">
        <f>+'Société A'!G17</f>
        <v>6048.4400000000005</v>
      </c>
      <c r="M17" s="175">
        <f>+'Société A'!H17</f>
        <v>12.78</v>
      </c>
      <c r="N17" s="177">
        <f t="shared" si="0"/>
        <v>26126.6</v>
      </c>
      <c r="O17" s="175">
        <f t="shared" si="3"/>
        <v>12.78</v>
      </c>
      <c r="P17" s="179">
        <f>+'Facturation Client'!I18</f>
        <v>1357024.2400000002</v>
      </c>
      <c r="Q17" s="179">
        <v>0</v>
      </c>
      <c r="R17" s="184">
        <f t="shared" si="4"/>
        <v>98.685698636638534</v>
      </c>
      <c r="S17" s="186">
        <f t="shared" si="2"/>
        <v>1330884.8600000001</v>
      </c>
      <c r="T17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</row>
    <row r="18" spans="1:137" s="75" customFormat="1" ht="17.25" customHeight="1" x14ac:dyDescent="0.2">
      <c r="A18" s="52">
        <v>44440</v>
      </c>
      <c r="B18" s="173">
        <f>+'Société C-1'!F18</f>
        <v>1050</v>
      </c>
      <c r="C18" s="174">
        <f>+'Société C-1'!G18</f>
        <v>2684.23</v>
      </c>
      <c r="D18" s="175">
        <f>+'Société C-1'!H18</f>
        <v>0</v>
      </c>
      <c r="E18" s="174">
        <f>+'Société C-2'!F18</f>
        <v>0</v>
      </c>
      <c r="F18" s="174">
        <f>+'Société C-2'!G18</f>
        <v>0</v>
      </c>
      <c r="G18" s="174">
        <f>+'Société C-2'!H18</f>
        <v>0</v>
      </c>
      <c r="H18" s="173">
        <f>+'Société B'!F18</f>
        <v>843.75</v>
      </c>
      <c r="I18" s="174">
        <f>+'Société B'!G18</f>
        <v>21648.31</v>
      </c>
      <c r="J18" s="175">
        <f>+'Société B'!H18</f>
        <v>0</v>
      </c>
      <c r="K18" s="173">
        <f>+'Société A'!F18</f>
        <v>7581.25</v>
      </c>
      <c r="L18" s="174">
        <f>+'Société A'!G18</f>
        <v>2957.1200000000003</v>
      </c>
      <c r="M18" s="175">
        <f>+'Société A'!H18</f>
        <v>8951.52</v>
      </c>
      <c r="N18" s="177">
        <f t="shared" si="0"/>
        <v>36764.660000000003</v>
      </c>
      <c r="O18" s="175">
        <f t="shared" si="3"/>
        <v>8951.52</v>
      </c>
      <c r="P18" s="179">
        <f>+'Facturation Client'!I19</f>
        <v>0</v>
      </c>
      <c r="Q18" s="179">
        <f>1800+4506.25+1800</f>
        <v>8106.25</v>
      </c>
      <c r="R18" s="184">
        <f t="shared" si="4"/>
        <v>-0.88154665377022379</v>
      </c>
      <c r="S18" s="186">
        <f t="shared" si="2"/>
        <v>-53822.430000000008</v>
      </c>
      <c r="T18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</row>
    <row r="19" spans="1:137" s="75" customFormat="1" ht="17.25" customHeight="1" x14ac:dyDescent="0.2">
      <c r="A19" s="52">
        <v>44470</v>
      </c>
      <c r="B19" s="173">
        <f>+'Société C-1'!F19</f>
        <v>125</v>
      </c>
      <c r="C19" s="174">
        <f>+'Société C-1'!G19</f>
        <v>2210.25</v>
      </c>
      <c r="D19" s="175">
        <f>+'Société C-1'!H19</f>
        <v>0</v>
      </c>
      <c r="E19" s="174">
        <f>+'Société C-2'!F19</f>
        <v>0</v>
      </c>
      <c r="F19" s="174">
        <f>+'Société C-2'!G19</f>
        <v>0</v>
      </c>
      <c r="G19" s="174">
        <f>+'Société C-2'!H19</f>
        <v>0</v>
      </c>
      <c r="H19" s="173">
        <f>+'Société B'!F19</f>
        <v>375</v>
      </c>
      <c r="I19" s="174">
        <f>+'Société B'!G19</f>
        <v>15127.17</v>
      </c>
      <c r="J19" s="175">
        <f>+'Société B'!H19</f>
        <v>2200</v>
      </c>
      <c r="K19" s="173">
        <f>+'Société A'!F19</f>
        <v>9312.5</v>
      </c>
      <c r="L19" s="174">
        <f>+'Société A'!G19</f>
        <v>7748.8499999999985</v>
      </c>
      <c r="M19" s="175">
        <f>+'Société A'!H19</f>
        <v>0</v>
      </c>
      <c r="N19" s="177">
        <f t="shared" si="0"/>
        <v>34898.769999999997</v>
      </c>
      <c r="O19" s="175">
        <f t="shared" si="3"/>
        <v>2200</v>
      </c>
      <c r="P19" s="179">
        <f>+'Facturation Client'!I20</f>
        <v>0</v>
      </c>
      <c r="Q19" s="179">
        <v>2112.5</v>
      </c>
      <c r="R19" s="184">
        <f t="shared" si="4"/>
        <v>-0.23478621166304717</v>
      </c>
      <c r="S19" s="186">
        <f t="shared" si="2"/>
        <v>-39211.269999999997</v>
      </c>
      <c r="T19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</row>
    <row r="20" spans="1:137" s="80" customFormat="1" ht="17.25" customHeight="1" x14ac:dyDescent="0.2">
      <c r="A20" s="52">
        <v>44501</v>
      </c>
      <c r="B20" s="173">
        <f>+'Société C-1'!F20</f>
        <v>406.25</v>
      </c>
      <c r="C20" s="174">
        <f>+'Société C-1'!G20</f>
        <v>6131.78</v>
      </c>
      <c r="D20" s="175">
        <f>+'Société C-1'!H20</f>
        <v>0</v>
      </c>
      <c r="E20" s="174">
        <f>+'Société C-2'!F20</f>
        <v>0</v>
      </c>
      <c r="F20" s="174">
        <f>+'Société C-2'!G20</f>
        <v>0</v>
      </c>
      <c r="G20" s="174">
        <f>+'Société C-2'!H20</f>
        <v>0</v>
      </c>
      <c r="H20" s="173">
        <f>+'Société B'!F20</f>
        <v>250</v>
      </c>
      <c r="I20" s="174">
        <f>+'Société B'!G20</f>
        <v>19539.79</v>
      </c>
      <c r="J20" s="175">
        <f>+'Société B'!H20</f>
        <v>796.33</v>
      </c>
      <c r="K20" s="173">
        <f>+'Société A'!F20</f>
        <v>6275</v>
      </c>
      <c r="L20" s="174">
        <f>+'Société A'!G20</f>
        <v>9770.41</v>
      </c>
      <c r="M20" s="175">
        <f>+'Société A'!H20</f>
        <v>217.01999999999998</v>
      </c>
      <c r="N20" s="177">
        <f t="shared" si="0"/>
        <v>42373.229999999996</v>
      </c>
      <c r="O20" s="175">
        <f t="shared" si="1"/>
        <v>1013.35</v>
      </c>
      <c r="P20" s="179">
        <f>+'Facturation Client'!I21</f>
        <v>0</v>
      </c>
      <c r="Q20" s="179">
        <f>811.25+5850+2380+1380</f>
        <v>10421.25</v>
      </c>
      <c r="R20" s="184">
        <f t="shared" si="4"/>
        <v>-0.51272324531313762</v>
      </c>
      <c r="S20" s="186">
        <f t="shared" si="2"/>
        <v>-53807.829999999994</v>
      </c>
      <c r="T20"/>
    </row>
    <row r="21" spans="1:137" s="75" customFormat="1" ht="17.25" customHeight="1" x14ac:dyDescent="0.2">
      <c r="A21" s="52">
        <v>44531</v>
      </c>
      <c r="B21" s="173">
        <f>+'Société C-1'!F21</f>
        <v>650</v>
      </c>
      <c r="C21" s="174">
        <f>+'Société C-1'!G21</f>
        <v>2476.1799999999998</v>
      </c>
      <c r="D21" s="175">
        <f>+'Société C-1'!H21</f>
        <v>0</v>
      </c>
      <c r="E21" s="174">
        <f>+'Société C-2'!F21</f>
        <v>0</v>
      </c>
      <c r="F21" s="174">
        <f>+'Société C-2'!G21</f>
        <v>0</v>
      </c>
      <c r="G21" s="174">
        <f>+'Société C-2'!H21</f>
        <v>0</v>
      </c>
      <c r="H21" s="173">
        <f>+'Société B'!F21</f>
        <v>312.5</v>
      </c>
      <c r="I21" s="174">
        <f>+'Société B'!G21</f>
        <v>11737.82</v>
      </c>
      <c r="J21" s="175">
        <f>+'Société B'!H21</f>
        <v>102.02</v>
      </c>
      <c r="K21" s="173">
        <f>+'Société A'!F21</f>
        <v>8375</v>
      </c>
      <c r="L21" s="174">
        <f>+'Société A'!G21</f>
        <v>8953.7099999999991</v>
      </c>
      <c r="M21" s="175">
        <f>+'Société A'!H21</f>
        <v>544.5</v>
      </c>
      <c r="N21" s="177">
        <f t="shared" si="0"/>
        <v>32505.21</v>
      </c>
      <c r="O21" s="175">
        <f>+D21+G21+M21+J21</f>
        <v>646.52</v>
      </c>
      <c r="P21" s="179">
        <f>+'Facturation Client'!I22</f>
        <v>0</v>
      </c>
      <c r="Q21" s="179">
        <f>33.75+1380+2112.5+690</f>
        <v>4216.25</v>
      </c>
      <c r="R21" s="184">
        <f t="shared" si="4"/>
        <v>-0.28423944961438491</v>
      </c>
      <c r="S21" s="186">
        <f t="shared" si="2"/>
        <v>-37367.979999999996</v>
      </c>
      <c r="T2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</row>
    <row r="22" spans="1:137" s="75" customFormat="1" ht="17.25" customHeight="1" x14ac:dyDescent="0.2">
      <c r="A22" s="52">
        <v>44562</v>
      </c>
      <c r="B22" s="173">
        <f>+'Société C-1'!F22</f>
        <v>562.5</v>
      </c>
      <c r="C22" s="174">
        <f>+'Société C-1'!G22</f>
        <v>6365.71</v>
      </c>
      <c r="D22" s="175">
        <f>+'Société C-1'!H22</f>
        <v>0</v>
      </c>
      <c r="E22" s="174">
        <f>+'Société C-2'!F22</f>
        <v>0</v>
      </c>
      <c r="F22" s="174">
        <f>+'Société C-2'!G22</f>
        <v>0</v>
      </c>
      <c r="G22" s="174">
        <f>+'Société C-2'!H22</f>
        <v>0</v>
      </c>
      <c r="H22" s="173">
        <f>+'Société B'!F22</f>
        <v>5562.5</v>
      </c>
      <c r="I22" s="174">
        <f>+'Société B'!G22</f>
        <v>19426.59</v>
      </c>
      <c r="J22" s="175">
        <f>+'Société B'!H22</f>
        <v>0</v>
      </c>
      <c r="K22" s="173">
        <f>+'Société A'!F22</f>
        <v>9868.75</v>
      </c>
      <c r="L22" s="174">
        <f>+'Société A'!G22</f>
        <v>20838.400000000001</v>
      </c>
      <c r="M22" s="175">
        <f>+'Société A'!H22</f>
        <v>0</v>
      </c>
      <c r="N22" s="177">
        <f t="shared" si="0"/>
        <v>62624.450000000004</v>
      </c>
      <c r="O22" s="175">
        <f t="shared" si="1"/>
        <v>0</v>
      </c>
      <c r="P22" s="179">
        <f>+'Facturation Client'!I23</f>
        <v>0</v>
      </c>
      <c r="Q22" s="179">
        <v>0</v>
      </c>
      <c r="R22" s="184">
        <f t="shared" si="4"/>
        <v>0</v>
      </c>
      <c r="S22" s="186">
        <f t="shared" si="2"/>
        <v>-62624.450000000004</v>
      </c>
      <c r="T22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</row>
    <row r="23" spans="1:137" s="75" customFormat="1" ht="17.25" customHeight="1" x14ac:dyDescent="0.2">
      <c r="A23" s="52">
        <v>44593</v>
      </c>
      <c r="B23" s="173">
        <f>+'Société C-1'!F23</f>
        <v>375</v>
      </c>
      <c r="C23" s="174">
        <f>+'Société C-1'!G23</f>
        <v>3627.81</v>
      </c>
      <c r="D23" s="175">
        <f>+'Société C-1'!H23</f>
        <v>0</v>
      </c>
      <c r="E23" s="174">
        <f>+'Société C-2'!F23</f>
        <v>0</v>
      </c>
      <c r="F23" s="174">
        <f>+'Société C-2'!G23</f>
        <v>0</v>
      </c>
      <c r="G23" s="174">
        <f>+'Société C-2'!H23</f>
        <v>0</v>
      </c>
      <c r="H23" s="173">
        <f>+'Société B'!F23</f>
        <v>6906.25</v>
      </c>
      <c r="I23" s="174">
        <f>+'Société B'!G23</f>
        <v>16083.96</v>
      </c>
      <c r="J23" s="175">
        <f>+'Société B'!H23</f>
        <v>575.58999999999992</v>
      </c>
      <c r="K23" s="173">
        <f>+'Société A'!F23</f>
        <v>11168.75</v>
      </c>
      <c r="L23" s="174">
        <f>+'Société A'!G23</f>
        <v>18785.169999999998</v>
      </c>
      <c r="M23" s="175">
        <f>+'Société A'!H23</f>
        <v>72.680000000000007</v>
      </c>
      <c r="N23" s="177">
        <f t="shared" si="0"/>
        <v>56946.939999999995</v>
      </c>
      <c r="O23" s="175">
        <f t="shared" si="1"/>
        <v>648.27</v>
      </c>
      <c r="P23" s="179">
        <f>+'Facturation Client'!I24</f>
        <v>0</v>
      </c>
      <c r="Q23" s="179">
        <f>370+165</f>
        <v>535</v>
      </c>
      <c r="R23" s="184">
        <f t="shared" si="4"/>
        <v>-3.9479083511774295E-2</v>
      </c>
      <c r="S23" s="186">
        <f t="shared" si="2"/>
        <v>-58130.209999999992</v>
      </c>
      <c r="T2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</row>
    <row r="24" spans="1:137" s="75" customFormat="1" ht="17.25" customHeight="1" x14ac:dyDescent="0.2">
      <c r="A24" s="52">
        <v>44621</v>
      </c>
      <c r="B24" s="173">
        <f>+'Société C-1'!F24</f>
        <v>625</v>
      </c>
      <c r="C24" s="174">
        <f>+'Société C-1'!G24</f>
        <v>11736.55</v>
      </c>
      <c r="D24" s="175">
        <f>+'Société C-1'!H24</f>
        <v>0</v>
      </c>
      <c r="E24" s="174">
        <f>+'Société C-2'!F24</f>
        <v>0</v>
      </c>
      <c r="F24" s="174">
        <f>+'Société C-2'!G24</f>
        <v>0</v>
      </c>
      <c r="G24" s="174">
        <f>+'Société C-2'!H24</f>
        <v>0</v>
      </c>
      <c r="H24" s="173">
        <f>+'Société B'!F24</f>
        <v>6781.25</v>
      </c>
      <c r="I24" s="174">
        <f>+'Société B'!G24</f>
        <v>15492.150000000001</v>
      </c>
      <c r="J24" s="175">
        <f>+'Société B'!H24</f>
        <v>961.7299999999999</v>
      </c>
      <c r="K24" s="173">
        <f>+'Société A'!F24</f>
        <v>15418.75</v>
      </c>
      <c r="L24" s="174">
        <f>+'Société A'!G24</f>
        <v>21282.250000000004</v>
      </c>
      <c r="M24" s="175">
        <f>+'Société A'!H24</f>
        <v>951.9799999999999</v>
      </c>
      <c r="N24" s="177">
        <f t="shared" ref="N24" si="5">+B24+C24+E24+F24+H24+I24+K24+L24</f>
        <v>71335.95</v>
      </c>
      <c r="O24" s="175">
        <f t="shared" ref="O24" si="6">+D24+G24+M24+J24</f>
        <v>1913.7099999999998</v>
      </c>
      <c r="P24" s="179">
        <v>0</v>
      </c>
      <c r="Q24" s="179">
        <f>1380+2800+2800+3963.75</f>
        <v>10943.75</v>
      </c>
      <c r="R24" s="184">
        <f t="shared" si="4"/>
        <v>-0.34245249414916318</v>
      </c>
      <c r="S24" s="186">
        <f t="shared" si="2"/>
        <v>-84193.41</v>
      </c>
      <c r="T24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</row>
    <row r="25" spans="1:137" s="75" customFormat="1" ht="17.25" customHeight="1" x14ac:dyDescent="0.2">
      <c r="A25" s="52">
        <v>44652</v>
      </c>
      <c r="B25" s="173">
        <f>+'Société C-1'!F25</f>
        <v>500</v>
      </c>
      <c r="C25" s="174">
        <f>+'Société C-1'!G25</f>
        <v>5064.21</v>
      </c>
      <c r="D25" s="175">
        <f>+'Société C-1'!H25</f>
        <v>0</v>
      </c>
      <c r="E25" s="174">
        <f>+'Société C-2'!F25</f>
        <v>0</v>
      </c>
      <c r="F25" s="174">
        <f>+'Société C-2'!G25</f>
        <v>0</v>
      </c>
      <c r="G25" s="174">
        <f>+'Société C-2'!H25</f>
        <v>0</v>
      </c>
      <c r="H25" s="173">
        <f>+'Société B'!F25</f>
        <v>8656.25</v>
      </c>
      <c r="I25" s="174">
        <f>+'Société B'!G25</f>
        <v>16137.52</v>
      </c>
      <c r="J25" s="175">
        <f>+'Société B'!H25</f>
        <v>0</v>
      </c>
      <c r="K25" s="173">
        <f>+'Société A'!F25</f>
        <v>6006.25</v>
      </c>
      <c r="L25" s="174">
        <f>+'Société A'!G25</f>
        <v>13686.47</v>
      </c>
      <c r="M25" s="175">
        <f>+'Société A'!H25</f>
        <v>99.76</v>
      </c>
      <c r="N25" s="177">
        <f t="shared" ref="N25:N26" si="7">+B25+C25+E25+F25+H25+I25+K25+L25</f>
        <v>50050.7</v>
      </c>
      <c r="O25" s="175">
        <f t="shared" ref="O25:O26" si="8">+D25+G25+M25+J25</f>
        <v>99.76</v>
      </c>
      <c r="P25" s="179">
        <f>'Facturation Client'!I25</f>
        <v>266654.75</v>
      </c>
      <c r="Q25" s="179">
        <f>165+1380</f>
        <v>1545</v>
      </c>
      <c r="R25" s="184">
        <f t="shared" si="4"/>
        <v>10.060178598900714</v>
      </c>
      <c r="S25" s="186">
        <f t="shared" ref="S25:S26" si="9">+P25-N25-O25-Q25</f>
        <v>214959.28999999998</v>
      </c>
      <c r="T2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</row>
    <row r="26" spans="1:137" s="75" customFormat="1" ht="17.25" customHeight="1" x14ac:dyDescent="0.2">
      <c r="A26" s="52">
        <v>44682</v>
      </c>
      <c r="B26" s="173">
        <f>+'Société C-1'!F26</f>
        <v>1843.75</v>
      </c>
      <c r="C26" s="174">
        <f>+'Société C-1'!G26</f>
        <v>9453.23</v>
      </c>
      <c r="D26" s="175">
        <f>+'Société C-1'!H26</f>
        <v>0</v>
      </c>
      <c r="E26" s="174">
        <f>+'Société C-2'!F26</f>
        <v>0</v>
      </c>
      <c r="F26" s="174">
        <f>+'Société C-2'!G26</f>
        <v>0</v>
      </c>
      <c r="G26" s="174">
        <f>+'Société C-2'!H26</f>
        <v>0</v>
      </c>
      <c r="H26" s="173">
        <f>+'Société B'!F26</f>
        <v>7250</v>
      </c>
      <c r="I26" s="174">
        <f>+'Société B'!G26</f>
        <v>11534.189999999999</v>
      </c>
      <c r="J26" s="175">
        <f>+'Société B'!H26</f>
        <v>0</v>
      </c>
      <c r="K26" s="173">
        <f>+'Société A'!F26</f>
        <v>9850</v>
      </c>
      <c r="L26" s="174">
        <f>+'Société A'!G26</f>
        <v>17671.240000000002</v>
      </c>
      <c r="M26" s="175">
        <f>+'Société A'!H26</f>
        <v>165</v>
      </c>
      <c r="N26" s="177">
        <f t="shared" si="7"/>
        <v>57602.41</v>
      </c>
      <c r="O26" s="175">
        <f t="shared" si="8"/>
        <v>165</v>
      </c>
      <c r="P26" s="179">
        <v>0</v>
      </c>
      <c r="Q26" s="179">
        <f>185+3168.75+1800+1056.25</f>
        <v>6210</v>
      </c>
      <c r="R26" s="184">
        <f t="shared" si="4"/>
        <v>-0.21027766025761768</v>
      </c>
      <c r="S26" s="186">
        <f t="shared" si="9"/>
        <v>-63977.41</v>
      </c>
      <c r="T26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</row>
    <row r="27" spans="1:137" s="75" customFormat="1" ht="17.25" customHeight="1" x14ac:dyDescent="0.2">
      <c r="A27" s="52">
        <v>44713</v>
      </c>
      <c r="B27" s="173">
        <f>+'Société C-1'!F27</f>
        <v>2937.5</v>
      </c>
      <c r="C27" s="174">
        <f>+'Société C-1'!G27</f>
        <v>11283.64</v>
      </c>
      <c r="D27" s="175">
        <f>+'Société C-1'!H27</f>
        <v>289.05</v>
      </c>
      <c r="E27" s="174">
        <f>+'Société C-2'!F27</f>
        <v>0</v>
      </c>
      <c r="F27" s="174">
        <f>+'Société C-2'!G27</f>
        <v>0</v>
      </c>
      <c r="G27" s="174">
        <f>+'Société C-2'!H27</f>
        <v>0</v>
      </c>
      <c r="H27" s="173">
        <f>+'Société B'!F27</f>
        <v>7625</v>
      </c>
      <c r="I27" s="174">
        <f>+'Société B'!G27</f>
        <v>9188.16</v>
      </c>
      <c r="J27" s="175">
        <f>+'Société B'!H27</f>
        <v>1670.16</v>
      </c>
      <c r="K27" s="173">
        <f>+'Société A'!F27</f>
        <v>7800</v>
      </c>
      <c r="L27" s="174">
        <f>+'Société A'!G27</f>
        <v>23076.1</v>
      </c>
      <c r="M27" s="175">
        <f>+'Société A'!H27</f>
        <v>2216.3200000000002</v>
      </c>
      <c r="N27" s="177">
        <f t="shared" ref="N27:N28" si="10">+B27+C27+E27+F27+H27+I27+K27+L27</f>
        <v>61910.400000000001</v>
      </c>
      <c r="O27" s="175">
        <f t="shared" ref="O27:O28" si="11">+D27+G27+M27+J27</f>
        <v>4175.5300000000007</v>
      </c>
      <c r="P27" s="179">
        <v>0</v>
      </c>
      <c r="Q27" s="179">
        <f>Consultants!E125</f>
        <v>2907.5</v>
      </c>
      <c r="R27" s="184">
        <f t="shared" si="4"/>
        <v>-0.21737473833152429</v>
      </c>
      <c r="S27" s="186">
        <f t="shared" si="2"/>
        <v>-68993.430000000008</v>
      </c>
      <c r="T27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</row>
    <row r="28" spans="1:137" s="75" customFormat="1" ht="17.25" customHeight="1" x14ac:dyDescent="0.2">
      <c r="A28" s="52">
        <v>44743</v>
      </c>
      <c r="B28" s="173">
        <f>+'Société C-1'!F28</f>
        <v>375</v>
      </c>
      <c r="C28" s="174">
        <f>+'Société C-1'!G28</f>
        <v>5257.89</v>
      </c>
      <c r="D28" s="175">
        <f>+'Société C-1'!H28</f>
        <v>0</v>
      </c>
      <c r="E28" s="174">
        <f>+'Société C-2'!F28</f>
        <v>0</v>
      </c>
      <c r="F28" s="174">
        <f>+'Société C-2'!G28</f>
        <v>0</v>
      </c>
      <c r="G28" s="174">
        <f>+'Société C-2'!H28</f>
        <v>0</v>
      </c>
      <c r="H28" s="173">
        <f>+'Société B'!F28</f>
        <v>3906.25</v>
      </c>
      <c r="I28" s="174">
        <f>+'Société B'!G28</f>
        <v>5253.93</v>
      </c>
      <c r="J28" s="175">
        <f>+'Société B'!H28</f>
        <v>0</v>
      </c>
      <c r="K28" s="173">
        <f>+'Société A'!F28</f>
        <v>5550</v>
      </c>
      <c r="L28" s="174">
        <f>+'Société A'!G28</f>
        <v>16860.14</v>
      </c>
      <c r="M28" s="175">
        <f>+'Société A'!H28</f>
        <v>213.5</v>
      </c>
      <c r="N28" s="177">
        <f t="shared" si="10"/>
        <v>37203.21</v>
      </c>
      <c r="O28" s="175">
        <f t="shared" si="11"/>
        <v>213.5</v>
      </c>
      <c r="P28" s="179">
        <v>0</v>
      </c>
      <c r="Q28" s="179">
        <f>Consultants!E126</f>
        <v>1380</v>
      </c>
      <c r="R28" s="184">
        <f t="shared" si="4"/>
        <v>-8.1381418431366537E-2</v>
      </c>
      <c r="S28" s="186">
        <f t="shared" si="2"/>
        <v>-38796.71</v>
      </c>
      <c r="T28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</row>
    <row r="29" spans="1:137" s="75" customFormat="1" ht="17.25" customHeight="1" x14ac:dyDescent="0.2">
      <c r="A29" s="52">
        <v>44774</v>
      </c>
      <c r="B29" s="173">
        <f>+'Société C-1'!F29</f>
        <v>375</v>
      </c>
      <c r="C29" s="174">
        <f>+'Société C-1'!G29</f>
        <v>12629.26</v>
      </c>
      <c r="D29" s="175">
        <f>+'Société C-1'!H29</f>
        <v>88.92</v>
      </c>
      <c r="E29" s="174">
        <v>0</v>
      </c>
      <c r="F29" s="174">
        <v>0</v>
      </c>
      <c r="G29" s="174">
        <v>0</v>
      </c>
      <c r="H29" s="173">
        <f>+'Société B'!F29</f>
        <v>3250</v>
      </c>
      <c r="I29" s="174">
        <f>+'Société B'!G29</f>
        <v>5174.43</v>
      </c>
      <c r="J29" s="175">
        <f>+'Société B'!H29</f>
        <v>1149.81</v>
      </c>
      <c r="K29" s="173">
        <f>+'Société A'!F29</f>
        <v>8237.5</v>
      </c>
      <c r="L29" s="174">
        <f>+'Société A'!G29</f>
        <v>23749.059999999998</v>
      </c>
      <c r="M29" s="175">
        <f>+'Société A'!H29</f>
        <v>1269.4000000000001</v>
      </c>
      <c r="N29" s="177">
        <f t="shared" ref="N29" si="12">+B29+C29+E29+F29+H29+I29+K29+L29</f>
        <v>53415.25</v>
      </c>
      <c r="O29" s="175">
        <f t="shared" ref="O29:O35" si="13">+D29+G29+M29+J29</f>
        <v>2508.13</v>
      </c>
      <c r="P29" s="177">
        <v>0</v>
      </c>
      <c r="Q29" s="179">
        <f>+Consultants!E127+Consultants!E128+Consultants!E129</f>
        <v>4506.25</v>
      </c>
      <c r="R29" s="184">
        <f t="shared" si="4"/>
        <v>-0.24950406485039384</v>
      </c>
      <c r="S29" s="186">
        <f t="shared" ref="S29:S30" si="14">+P29-N29-O29-Q29</f>
        <v>-60429.63</v>
      </c>
      <c r="T29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</row>
    <row r="30" spans="1:137" s="75" customFormat="1" ht="17.25" customHeight="1" x14ac:dyDescent="0.2">
      <c r="A30" s="52">
        <v>44805</v>
      </c>
      <c r="B30" s="173">
        <f>+'Société C-1'!F30</f>
        <v>687.5</v>
      </c>
      <c r="C30" s="174">
        <f>+'Société C-1'!G30</f>
        <v>10464.26</v>
      </c>
      <c r="D30" s="175">
        <f>+'Société C-1'!H30</f>
        <v>156.64999999999998</v>
      </c>
      <c r="E30" s="174">
        <v>0</v>
      </c>
      <c r="F30" s="174">
        <v>0</v>
      </c>
      <c r="G30" s="174">
        <v>0</v>
      </c>
      <c r="H30" s="173">
        <f>+'Société B'!F30</f>
        <v>4847.5</v>
      </c>
      <c r="I30" s="174">
        <f>+'Société B'!G30</f>
        <v>10878.93</v>
      </c>
      <c r="J30" s="175">
        <f>+'Société B'!H30</f>
        <v>1534.35</v>
      </c>
      <c r="K30" s="173">
        <f>+'Société A'!F30</f>
        <v>9925</v>
      </c>
      <c r="L30" s="174">
        <f>+'Société A'!G30</f>
        <v>22746.09</v>
      </c>
      <c r="M30" s="175">
        <f>+'Société A'!H30</f>
        <v>539.99</v>
      </c>
      <c r="N30" s="177">
        <f t="shared" ref="N30" si="15">+B30+C30+E30+F30+H30+I30+K30+L30</f>
        <v>59549.279999999999</v>
      </c>
      <c r="O30" s="175">
        <f t="shared" si="13"/>
        <v>2230.9899999999998</v>
      </c>
      <c r="P30" s="177">
        <v>0</v>
      </c>
      <c r="Q30" s="179">
        <f>+Consultants!E9+Consultants!E130</f>
        <v>4380</v>
      </c>
      <c r="R30" s="184">
        <f t="shared" si="4"/>
        <v>-0.21093254192158159</v>
      </c>
      <c r="S30" s="186">
        <f t="shared" si="14"/>
        <v>-66160.26999999999</v>
      </c>
      <c r="T30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</row>
    <row r="31" spans="1:137" s="75" customFormat="1" ht="17.25" customHeight="1" x14ac:dyDescent="0.2">
      <c r="A31" s="52">
        <v>44835</v>
      </c>
      <c r="B31" s="173">
        <f>+'Société C-1'!F31</f>
        <v>625</v>
      </c>
      <c r="C31" s="174">
        <f>+'Société C-1'!G31</f>
        <v>6067.18</v>
      </c>
      <c r="D31" s="175">
        <f>+'Société C-1'!H31</f>
        <v>0</v>
      </c>
      <c r="E31" s="174">
        <v>0</v>
      </c>
      <c r="F31" s="174">
        <v>0</v>
      </c>
      <c r="G31" s="174">
        <v>0</v>
      </c>
      <c r="H31" s="173">
        <f>+'Société B'!F31</f>
        <v>3511.25</v>
      </c>
      <c r="I31" s="174">
        <f>+'Société B'!G31</f>
        <v>6871.1900000000005</v>
      </c>
      <c r="J31" s="175">
        <f>+'Société B'!H31</f>
        <v>1797</v>
      </c>
      <c r="K31" s="173">
        <f>+'Société A'!F31</f>
        <v>13993.75</v>
      </c>
      <c r="L31" s="174">
        <f>+'Société A'!G31</f>
        <v>22905.71</v>
      </c>
      <c r="M31" s="175">
        <f>+'Société A'!H31</f>
        <v>401</v>
      </c>
      <c r="N31" s="177">
        <f t="shared" ref="N31" si="16">+B31+C31+E31+F31+H31+I31+K31+L31</f>
        <v>53974.080000000002</v>
      </c>
      <c r="O31" s="175">
        <f t="shared" si="13"/>
        <v>2198</v>
      </c>
      <c r="P31" s="177">
        <f>'Facturation Client'!I26</f>
        <v>481430.18000000005</v>
      </c>
      <c r="Q31" s="179">
        <f>+Consultants!E10+Consultants!E131</f>
        <v>1026.25</v>
      </c>
      <c r="R31" s="184">
        <f t="shared" si="4"/>
        <v>16.833844449039244</v>
      </c>
      <c r="S31" s="186">
        <f t="shared" ref="S31" si="17">+P31-N31-O31-Q31</f>
        <v>424231.85000000003</v>
      </c>
      <c r="T3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</row>
    <row r="32" spans="1:137" s="75" customFormat="1" ht="17.25" customHeight="1" x14ac:dyDescent="0.2">
      <c r="A32" s="52">
        <v>44866</v>
      </c>
      <c r="B32" s="173">
        <f>+'Société C-1'!F32</f>
        <v>525</v>
      </c>
      <c r="C32" s="174">
        <f>+'Société C-1'!G32</f>
        <v>4507.28</v>
      </c>
      <c r="D32" s="175">
        <f>+'Société C-1'!H32</f>
        <v>0</v>
      </c>
      <c r="E32" s="174">
        <v>0</v>
      </c>
      <c r="F32" s="174">
        <v>0</v>
      </c>
      <c r="G32" s="174">
        <v>0</v>
      </c>
      <c r="H32" s="173">
        <f>+'Société B'!F32+'Société B'!F33</f>
        <v>8891.25</v>
      </c>
      <c r="I32" s="174">
        <f>+'Société B'!G32+'Société B'!G33</f>
        <v>8163.7999999999993</v>
      </c>
      <c r="J32" s="175">
        <f>+'Société B'!H32+'Société B'!H33</f>
        <v>2106.14</v>
      </c>
      <c r="K32" s="173">
        <f>+'Société A'!F32</f>
        <v>16493.75</v>
      </c>
      <c r="L32" s="174">
        <f>+'Société A'!G32</f>
        <v>23602.75</v>
      </c>
      <c r="M32" s="175">
        <f>+'Société A'!H32</f>
        <v>433</v>
      </c>
      <c r="N32" s="177">
        <f t="shared" ref="N32" si="18">+B32+C32+E32+F32+H32+I32+K32+L32</f>
        <v>62183.83</v>
      </c>
      <c r="O32" s="175">
        <f t="shared" si="13"/>
        <v>2539.14</v>
      </c>
      <c r="P32" s="177">
        <v>0</v>
      </c>
      <c r="Q32" s="179">
        <f>+Consultants!E11+Consultants!E12+Consultants!E132+Consultants!E133+Consultants!E134</f>
        <v>13417.5</v>
      </c>
      <c r="R32" s="184">
        <f t="shared" si="4"/>
        <v>-0.48754822596163661</v>
      </c>
      <c r="S32" s="186">
        <f t="shared" ref="S32" si="19">+P32-N32-O32-Q32</f>
        <v>-78140.47</v>
      </c>
      <c r="T32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</row>
    <row r="33" spans="1:137" s="75" customFormat="1" ht="17.25" customHeight="1" x14ac:dyDescent="0.2">
      <c r="A33" s="52">
        <v>44896</v>
      </c>
      <c r="B33" s="173">
        <f>+'Société C-1'!F33+'Société C-1'!F39</f>
        <v>687.5</v>
      </c>
      <c r="C33" s="174">
        <f>+'Société C-1'!G33+'Société C-1'!G39</f>
        <v>102561.73000000001</v>
      </c>
      <c r="D33" s="175">
        <f>+'Société C-1'!H33+'Société C-1'!H39</f>
        <v>0</v>
      </c>
      <c r="E33" s="174">
        <v>0</v>
      </c>
      <c r="F33" s="174">
        <v>0</v>
      </c>
      <c r="G33" s="174">
        <v>0</v>
      </c>
      <c r="H33" s="173">
        <f>'Société B'!F34</f>
        <v>3125</v>
      </c>
      <c r="I33" s="174">
        <f>'Société B'!G34</f>
        <v>3752.7299999999996</v>
      </c>
      <c r="J33" s="175">
        <f>'Société B'!H34</f>
        <v>106.39</v>
      </c>
      <c r="K33" s="173">
        <f>+'Société A'!F33</f>
        <v>17868.75</v>
      </c>
      <c r="L33" s="174">
        <f>+'Société A'!G33</f>
        <v>23507.040000000001</v>
      </c>
      <c r="M33" s="175">
        <f>+'Société A'!H33</f>
        <v>275</v>
      </c>
      <c r="N33" s="177">
        <f t="shared" ref="N33:N34" si="20">+B33+C33+E33+F33+H33+I33+K33+L33</f>
        <v>151502.75</v>
      </c>
      <c r="O33" s="175">
        <f t="shared" si="13"/>
        <v>381.39</v>
      </c>
      <c r="P33" s="177">
        <f>+'Facturation Client'!I27</f>
        <v>116846.91</v>
      </c>
      <c r="Q33" s="179">
        <f>Consultants!E135+Consultants!E136+Consultants!E13</f>
        <v>3041.25</v>
      </c>
      <c r="R33" s="184">
        <f t="shared" si="4"/>
        <v>1.4224567738869427</v>
      </c>
      <c r="S33" s="186">
        <f t="shared" ref="S33:S34" si="21">+P33-N33-O33-Q33</f>
        <v>-38078.479999999996</v>
      </c>
      <c r="T33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</row>
    <row r="34" spans="1:137" s="75" customFormat="1" ht="17.25" customHeight="1" x14ac:dyDescent="0.2">
      <c r="A34" s="52">
        <v>44927</v>
      </c>
      <c r="B34" s="173">
        <f>+'Société C-1'!F34</f>
        <v>500</v>
      </c>
      <c r="C34" s="174">
        <f>+'Société C-1'!G34</f>
        <v>2971.13</v>
      </c>
      <c r="D34" s="175">
        <f>+'Société C-1'!H34</f>
        <v>0</v>
      </c>
      <c r="E34" s="174">
        <v>0</v>
      </c>
      <c r="F34" s="174">
        <v>0</v>
      </c>
      <c r="G34" s="174">
        <v>0</v>
      </c>
      <c r="H34" s="173">
        <f>'Société B'!F35</f>
        <v>2906.25</v>
      </c>
      <c r="I34" s="174">
        <f>'Société B'!G35</f>
        <v>4801.78</v>
      </c>
      <c r="J34" s="175">
        <f>'Société B'!H35</f>
        <v>510.86</v>
      </c>
      <c r="K34" s="173">
        <f>+'Société A'!F34</f>
        <v>12825</v>
      </c>
      <c r="L34" s="174">
        <f>+'Société A'!G34</f>
        <v>20976.489999999998</v>
      </c>
      <c r="M34" s="175">
        <f>+'Société A'!H34</f>
        <v>275</v>
      </c>
      <c r="N34" s="177">
        <f t="shared" si="20"/>
        <v>44980.649999999994</v>
      </c>
      <c r="O34" s="175">
        <f t="shared" ref="O34" si="22">+D34+G34+M34+J34</f>
        <v>785.86</v>
      </c>
      <c r="P34" s="177">
        <v>0</v>
      </c>
      <c r="Q34" s="179">
        <f>+Consultants!E14+Consultants!E54+Consultants!E137+Consultants!E138</f>
        <v>17260</v>
      </c>
      <c r="R34" s="184">
        <f t="shared" si="4"/>
        <v>-0.76226408466751816</v>
      </c>
      <c r="S34" s="186">
        <f t="shared" si="21"/>
        <v>-63026.509999999995</v>
      </c>
      <c r="T34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</row>
    <row r="35" spans="1:137" s="75" customFormat="1" ht="17.25" customHeight="1" x14ac:dyDescent="0.2">
      <c r="A35" s="52">
        <v>44958</v>
      </c>
      <c r="B35" s="173">
        <f>+'Société C-1'!F35</f>
        <v>625</v>
      </c>
      <c r="C35" s="174">
        <f>+'Société C-1'!G35</f>
        <v>6775.78</v>
      </c>
      <c r="D35" s="175">
        <f>+'Société C-1'!H35</f>
        <v>0</v>
      </c>
      <c r="E35" s="174">
        <v>0</v>
      </c>
      <c r="F35" s="174">
        <v>0</v>
      </c>
      <c r="G35" s="174">
        <v>0</v>
      </c>
      <c r="H35" s="173">
        <f>'Société B'!F36</f>
        <v>4281.25</v>
      </c>
      <c r="I35" s="174">
        <f>'Société B'!G36</f>
        <v>5131.8999999999996</v>
      </c>
      <c r="J35" s="175">
        <f>'Société B'!H36</f>
        <v>212.78</v>
      </c>
      <c r="K35" s="173">
        <f>+'Société A'!F35</f>
        <v>15775</v>
      </c>
      <c r="L35" s="174">
        <f>+'Société A'!G35</f>
        <v>31779.42</v>
      </c>
      <c r="M35" s="175">
        <f>+'Société A'!H35</f>
        <v>395.5</v>
      </c>
      <c r="N35" s="177">
        <f t="shared" ref="N35" si="23">+B35+C35+E35+F35+H35+I35+K35+L35</f>
        <v>64368.35</v>
      </c>
      <c r="O35" s="175">
        <f t="shared" si="13"/>
        <v>608.28</v>
      </c>
      <c r="P35" s="177">
        <v>0</v>
      </c>
      <c r="Q35" s="179">
        <f>+Consultants!E15</f>
        <v>370</v>
      </c>
      <c r="R35" s="184">
        <f t="shared" si="4"/>
        <v>-2.8876489765544713E-2</v>
      </c>
      <c r="S35" s="186">
        <f t="shared" ref="S35" si="24">+P35-N35-O35-Q35</f>
        <v>-65346.63</v>
      </c>
      <c r="T3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</row>
    <row r="36" spans="1:137" s="75" customFormat="1" ht="18.75" customHeight="1" x14ac:dyDescent="0.2">
      <c r="A36" s="52">
        <v>44986</v>
      </c>
      <c r="B36" s="173">
        <f>+'Société C-1'!F36</f>
        <v>812.5</v>
      </c>
      <c r="C36" s="174">
        <f>+'Société C-1'!G36</f>
        <v>14089.35</v>
      </c>
      <c r="D36" s="175">
        <f>+'Société C-1'!H36</f>
        <v>0</v>
      </c>
      <c r="E36" s="174">
        <v>0</v>
      </c>
      <c r="F36" s="174">
        <v>0</v>
      </c>
      <c r="G36" s="174">
        <v>0</v>
      </c>
      <c r="H36" s="173">
        <f>'Société B'!F37</f>
        <v>5406.25</v>
      </c>
      <c r="I36" s="174">
        <f>'Société B'!G37</f>
        <v>6601.08</v>
      </c>
      <c r="J36" s="175">
        <f>'Société B'!H37</f>
        <v>1317.1</v>
      </c>
      <c r="K36" s="173">
        <f>+'Société A'!F36</f>
        <v>28337.5</v>
      </c>
      <c r="L36" s="174">
        <f>+'Société A'!G36</f>
        <v>48812.44</v>
      </c>
      <c r="M36" s="175">
        <f>+'Société A'!H36</f>
        <v>2139.02</v>
      </c>
      <c r="N36" s="177">
        <f t="shared" ref="N36" si="25">+B36+C36+E36+F36+H36+I36+K36+L36</f>
        <v>104059.12</v>
      </c>
      <c r="O36" s="175">
        <f t="shared" ref="O36" si="26">+D36+G36+M36+J36</f>
        <v>3456.12</v>
      </c>
      <c r="P36" s="177">
        <v>0</v>
      </c>
      <c r="Q36" s="179">
        <f>+Consultants!E16</f>
        <v>416.25</v>
      </c>
      <c r="R36" s="184">
        <f t="shared" si="4"/>
        <v>-7.0705028064815462E-2</v>
      </c>
      <c r="S36" s="186">
        <f t="shared" ref="S36:S42" si="27">+P36-N36-O36-Q36</f>
        <v>-107931.48999999999</v>
      </c>
      <c r="T36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</row>
    <row r="37" spans="1:137" s="75" customFormat="1" ht="17.25" customHeight="1" x14ac:dyDescent="0.2">
      <c r="A37" s="52">
        <v>45017</v>
      </c>
      <c r="B37" s="173">
        <f>+'Société C-1'!F37</f>
        <v>500</v>
      </c>
      <c r="C37" s="174">
        <f>+'Société C-1'!G37</f>
        <v>6120.7300000000005</v>
      </c>
      <c r="D37" s="175">
        <f>+'Société C-1'!H37</f>
        <v>277.70999999999998</v>
      </c>
      <c r="E37" s="174">
        <v>0</v>
      </c>
      <c r="F37" s="174">
        <v>0</v>
      </c>
      <c r="G37" s="174">
        <v>0</v>
      </c>
      <c r="H37" s="173">
        <f>'Société B'!F38</f>
        <v>2937.5</v>
      </c>
      <c r="I37" s="174">
        <f>'Société B'!G38</f>
        <v>4256</v>
      </c>
      <c r="J37" s="175">
        <f>'Société B'!H38</f>
        <v>212.78</v>
      </c>
      <c r="K37" s="173">
        <f>+'Société A'!F37</f>
        <v>23762.5</v>
      </c>
      <c r="L37" s="174">
        <f>+'Société A'!G37</f>
        <v>31759.47</v>
      </c>
      <c r="M37" s="175">
        <f>+'Société A'!H37</f>
        <v>423.42</v>
      </c>
      <c r="N37" s="177">
        <f t="shared" ref="N37:N39" si="28">+B37+C37+E37+F37+H37+I37+K37+L37</f>
        <v>69336.2</v>
      </c>
      <c r="O37" s="175">
        <f t="shared" ref="O37:O39" si="29">+D37+G37+M37+J37</f>
        <v>913.91</v>
      </c>
      <c r="P37" s="177">
        <v>0</v>
      </c>
      <c r="Q37" s="179">
        <f>+Consultants!E162+Consultants!E163+Consultants!E17</f>
        <v>12727.5</v>
      </c>
      <c r="R37" s="184">
        <f t="shared" si="4"/>
        <v>-0.37381164528774297</v>
      </c>
      <c r="S37" s="186">
        <f t="shared" ref="S37:S38" si="30">+P37-N37-O37-Q37</f>
        <v>-82977.61</v>
      </c>
      <c r="T37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</row>
    <row r="38" spans="1:137" s="75" customFormat="1" ht="17.25" customHeight="1" x14ac:dyDescent="0.2">
      <c r="A38" s="52">
        <v>45047</v>
      </c>
      <c r="B38" s="173">
        <f>+'Société C-1'!F38+'Société C-1'!F40</f>
        <v>562.5</v>
      </c>
      <c r="C38" s="174">
        <f>+'Société C-1'!G38+'Société C-1'!G40</f>
        <v>149658.96000000002</v>
      </c>
      <c r="D38" s="175">
        <f>+'Société C-1'!H38+'Société C-1'!H40</f>
        <v>88.4</v>
      </c>
      <c r="E38" s="174">
        <v>0</v>
      </c>
      <c r="F38" s="174">
        <v>0</v>
      </c>
      <c r="G38" s="174">
        <v>0</v>
      </c>
      <c r="H38" s="173">
        <f>'Société B'!F39</f>
        <v>3937.5</v>
      </c>
      <c r="I38" s="174">
        <f>'Société B'!G39</f>
        <v>3957.7</v>
      </c>
      <c r="J38" s="175">
        <f>'Société B'!H39</f>
        <v>809.85</v>
      </c>
      <c r="K38" s="173">
        <f>+'Société A'!F38</f>
        <v>24943.75</v>
      </c>
      <c r="L38" s="174">
        <f>+'Société A'!G38</f>
        <v>44593.97</v>
      </c>
      <c r="M38" s="175">
        <f>+'Société A'!H38</f>
        <v>1619.8600000000001</v>
      </c>
      <c r="N38" s="177">
        <f t="shared" si="28"/>
        <v>227654.38000000003</v>
      </c>
      <c r="O38" s="175">
        <f t="shared" si="29"/>
        <v>2518.11</v>
      </c>
      <c r="P38" s="177">
        <v>0</v>
      </c>
      <c r="Q38" s="179">
        <f>+Consultants!E18+Consultants!E19</f>
        <v>4076.25</v>
      </c>
      <c r="R38" s="184">
        <f t="shared" si="4"/>
        <v>-5.5036428466695868E-2</v>
      </c>
      <c r="S38" s="186">
        <f t="shared" si="30"/>
        <v>-234248.74000000002</v>
      </c>
      <c r="T3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</row>
    <row r="39" spans="1:137" s="75" customFormat="1" ht="17.25" customHeight="1" x14ac:dyDescent="0.2">
      <c r="A39" s="52">
        <v>45078</v>
      </c>
      <c r="B39" s="173">
        <f>+'Société C-1'!F41</f>
        <v>500</v>
      </c>
      <c r="C39" s="174">
        <f>+'Société C-1'!G41</f>
        <v>38035.31</v>
      </c>
      <c r="D39" s="175">
        <f>+'Société C-1'!H41</f>
        <v>339.5</v>
      </c>
      <c r="E39" s="174">
        <v>0</v>
      </c>
      <c r="F39" s="174">
        <v>0</v>
      </c>
      <c r="G39" s="174">
        <v>0</v>
      </c>
      <c r="H39" s="173">
        <f>'Société B'!F40</f>
        <v>1281.25</v>
      </c>
      <c r="I39" s="174">
        <f>'Société B'!G40</f>
        <v>1580.0900000000001</v>
      </c>
      <c r="J39" s="175">
        <f>'Société B'!H40</f>
        <v>116.29</v>
      </c>
      <c r="K39" s="173">
        <f>+'Société A'!F39</f>
        <v>21437.5</v>
      </c>
      <c r="L39" s="174">
        <f>+'Société A'!G39</f>
        <v>33114.639999999999</v>
      </c>
      <c r="M39" s="175">
        <f>+'Société A'!H39</f>
        <v>705.42</v>
      </c>
      <c r="N39" s="177">
        <f t="shared" si="28"/>
        <v>95948.79</v>
      </c>
      <c r="O39" s="175">
        <f t="shared" si="29"/>
        <v>1161.21</v>
      </c>
      <c r="P39" s="177">
        <v>0</v>
      </c>
      <c r="Q39" s="179">
        <f>+Consultants!E20+Consultants!E139+Consultants!E140+Consultants!E141</f>
        <v>5212.5</v>
      </c>
      <c r="R39" s="184">
        <f t="shared" si="4"/>
        <v>-0.12621367085504673</v>
      </c>
      <c r="S39" s="186">
        <f t="shared" si="27"/>
        <v>-102322.5</v>
      </c>
      <c r="T39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</row>
    <row r="40" spans="1:137" s="75" customFormat="1" ht="18.75" customHeight="1" x14ac:dyDescent="0.2">
      <c r="A40" s="52">
        <v>45108</v>
      </c>
      <c r="B40" s="173">
        <f>+'Société C-1'!F42</f>
        <v>562.5</v>
      </c>
      <c r="C40" s="174">
        <f>+'Société C-1'!G42</f>
        <v>5690.67</v>
      </c>
      <c r="D40" s="175">
        <f>+'Société C-1'!H42</f>
        <v>83.2</v>
      </c>
      <c r="E40" s="174">
        <v>0</v>
      </c>
      <c r="F40" s="174">
        <v>0</v>
      </c>
      <c r="G40" s="174">
        <v>0</v>
      </c>
      <c r="H40" s="173">
        <f>'Société B'!F41</f>
        <v>2062.5</v>
      </c>
      <c r="I40" s="174">
        <f>'Société B'!G41</f>
        <v>1415.5</v>
      </c>
      <c r="J40" s="175">
        <f>'Société B'!H41</f>
        <v>0</v>
      </c>
      <c r="K40" s="173">
        <f>+'Société A'!F40</f>
        <v>16943.75</v>
      </c>
      <c r="L40" s="174">
        <f>+'Société A'!G40</f>
        <v>30144.710000000003</v>
      </c>
      <c r="M40" s="175">
        <f>+'Société A'!H40</f>
        <v>589.29999999999995</v>
      </c>
      <c r="N40" s="177">
        <f t="shared" ref="N40" si="31">+B40+C40+E40+F40+H40+I40+K40+L40</f>
        <v>56819.630000000005</v>
      </c>
      <c r="O40" s="175">
        <f t="shared" ref="O40" si="32">+D40+G40+M40+J40</f>
        <v>672.5</v>
      </c>
      <c r="P40" s="177">
        <f>+'Facturation Client'!I28</f>
        <v>294994.74</v>
      </c>
      <c r="Q40" s="179">
        <v>0</v>
      </c>
      <c r="R40" s="184">
        <f t="shared" si="4"/>
        <v>9.8418848556387974</v>
      </c>
      <c r="S40" s="186">
        <f t="shared" si="27"/>
        <v>237502.61</v>
      </c>
      <c r="T40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</row>
    <row r="41" spans="1:137" s="75" customFormat="1" ht="17.25" customHeight="1" x14ac:dyDescent="0.2">
      <c r="A41" s="52">
        <v>45139</v>
      </c>
      <c r="B41" s="173">
        <f>+'Société C-1'!F43</f>
        <v>875</v>
      </c>
      <c r="C41" s="174">
        <f>+'Société C-1'!G43</f>
        <v>7859.4400000000005</v>
      </c>
      <c r="D41" s="175">
        <f>+'Société C-1'!H43</f>
        <v>0</v>
      </c>
      <c r="E41" s="174">
        <v>0</v>
      </c>
      <c r="F41" s="174">
        <v>0</v>
      </c>
      <c r="G41" s="174">
        <v>0</v>
      </c>
      <c r="H41" s="173">
        <f>'Société B'!F42</f>
        <v>7156.25</v>
      </c>
      <c r="I41" s="174">
        <f>'Société B'!G42</f>
        <v>6086.98</v>
      </c>
      <c r="J41" s="175">
        <f>'Société B'!H42</f>
        <v>0</v>
      </c>
      <c r="K41" s="173">
        <f>+'Société A'!F41</f>
        <v>24062.5</v>
      </c>
      <c r="L41" s="174">
        <f>+'Société A'!G41</f>
        <v>39589.380000000005</v>
      </c>
      <c r="M41" s="175">
        <f>+'Société A'!H41</f>
        <v>859.99000000000012</v>
      </c>
      <c r="N41" s="177">
        <f t="shared" ref="N41" si="33">+B41+C41+E41+F41+H41+I41+K41+L41</f>
        <v>85629.55</v>
      </c>
      <c r="O41" s="175">
        <f t="shared" ref="O41" si="34">+D41+G41+M41+J41</f>
        <v>859.99000000000012</v>
      </c>
      <c r="P41" s="177">
        <v>0</v>
      </c>
      <c r="Q41" s="179">
        <f>+Consultants!E142+Consultants!E143+Consultants!E144+Consultants!E145+Consultants!E146+Consultants!E21</f>
        <v>6486.26</v>
      </c>
      <c r="R41" s="184">
        <f t="shared" si="4"/>
        <v>-0.16300301706595444</v>
      </c>
      <c r="S41" s="186">
        <f t="shared" si="27"/>
        <v>-92975.8</v>
      </c>
      <c r="T4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</row>
    <row r="42" spans="1:137" s="75" customFormat="1" ht="17.25" customHeight="1" x14ac:dyDescent="0.2">
      <c r="A42" s="52">
        <v>45170</v>
      </c>
      <c r="B42" s="173">
        <f>+'Société C-1'!F44</f>
        <v>437.5</v>
      </c>
      <c r="C42" s="174">
        <f>+'Société C-1'!G44</f>
        <v>3256.35</v>
      </c>
      <c r="D42" s="175">
        <f>+'Société C-1'!H44</f>
        <v>182.52</v>
      </c>
      <c r="E42" s="174">
        <v>0</v>
      </c>
      <c r="F42" s="174">
        <v>0</v>
      </c>
      <c r="G42" s="174">
        <v>0</v>
      </c>
      <c r="H42" s="173">
        <f>'Société B'!F43</f>
        <v>5156.25</v>
      </c>
      <c r="I42" s="174">
        <f>'Société B'!G43</f>
        <v>1655.38</v>
      </c>
      <c r="J42" s="175">
        <f>'Société B'!H43</f>
        <v>423.88</v>
      </c>
      <c r="K42" s="173">
        <f>+'Société A'!F42</f>
        <v>20462.5</v>
      </c>
      <c r="L42" s="174">
        <f>+'Société A'!G42</f>
        <v>36795.409999999996</v>
      </c>
      <c r="M42" s="175">
        <f>+'Société A'!H42</f>
        <v>686.4</v>
      </c>
      <c r="N42" s="177">
        <f t="shared" ref="N42" si="35">+B42+C42+E42+F42+H42+I42+K42+L42</f>
        <v>67763.39</v>
      </c>
      <c r="O42" s="175">
        <f t="shared" ref="O42:O43" si="36">+D42+G42+M42+J42</f>
        <v>1292.8</v>
      </c>
      <c r="P42" s="177">
        <f>+'Facturation Client'!I29</f>
        <v>137825.39000000001</v>
      </c>
      <c r="Q42" s="179">
        <f>+Consultants!E22+Consultants!E55</f>
        <v>1188.75</v>
      </c>
      <c r="R42" s="184">
        <f t="shared" si="4"/>
        <v>3.794870593103445</v>
      </c>
      <c r="S42" s="186">
        <f t="shared" si="27"/>
        <v>67580.450000000012</v>
      </c>
      <c r="T4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</row>
    <row r="43" spans="1:137" s="75" customFormat="1" ht="17.25" customHeight="1" x14ac:dyDescent="0.2">
      <c r="A43" s="52">
        <v>45200</v>
      </c>
      <c r="B43" s="173">
        <f>+'Société C-1'!F45</f>
        <v>625</v>
      </c>
      <c r="C43" s="174">
        <f>+'Société C-1'!G45</f>
        <v>4397.49</v>
      </c>
      <c r="D43" s="175">
        <f>+'Société C-1'!H45</f>
        <v>0</v>
      </c>
      <c r="E43" s="174">
        <v>0</v>
      </c>
      <c r="F43" s="174">
        <v>0</v>
      </c>
      <c r="G43" s="174">
        <v>0</v>
      </c>
      <c r="H43" s="173">
        <f>'Société B'!F44</f>
        <v>1812.5</v>
      </c>
      <c r="I43" s="174">
        <f>'Société B'!G44</f>
        <v>409.44999999999982</v>
      </c>
      <c r="J43" s="175">
        <f>'Société B'!H44</f>
        <v>0</v>
      </c>
      <c r="K43" s="173">
        <f>+'Société A'!F43</f>
        <v>15837.5</v>
      </c>
      <c r="L43" s="174">
        <f>+'Société A'!G43</f>
        <v>34187.199999999997</v>
      </c>
      <c r="M43" s="175">
        <f>+'Société A'!H43</f>
        <v>1584.18</v>
      </c>
      <c r="N43" s="177">
        <f t="shared" ref="N43" si="37">+B43+C43+E43+F43+H43+I43+K43+L43</f>
        <v>57269.14</v>
      </c>
      <c r="O43" s="175">
        <f t="shared" si="36"/>
        <v>1584.18</v>
      </c>
      <c r="P43" s="177">
        <v>0</v>
      </c>
      <c r="Q43" s="179">
        <f>+Consultants!E147+Consultants!E148+Consultants!E149</f>
        <v>4360</v>
      </c>
      <c r="R43" s="184">
        <f t="shared" si="4"/>
        <v>-0.19720816481616452</v>
      </c>
      <c r="S43" s="186">
        <f t="shared" ref="S43:S44" si="38">+P43-N43-O43-Q43</f>
        <v>-63213.32</v>
      </c>
      <c r="T4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</row>
    <row r="44" spans="1:137" s="75" customFormat="1" ht="17.25" customHeight="1" x14ac:dyDescent="0.2">
      <c r="A44" s="52">
        <v>45231</v>
      </c>
      <c r="B44" s="173">
        <f>+'Société C-1'!F46</f>
        <v>687.5</v>
      </c>
      <c r="C44" s="174">
        <f>+'Société C-1'!G46</f>
        <v>7185.25</v>
      </c>
      <c r="D44" s="175">
        <f>+'Société C-1'!H46</f>
        <v>0</v>
      </c>
      <c r="E44" s="174">
        <v>0</v>
      </c>
      <c r="F44" s="174">
        <v>0</v>
      </c>
      <c r="G44" s="174">
        <v>0</v>
      </c>
      <c r="H44" s="173">
        <f>'Société B'!F45</f>
        <v>3468.75</v>
      </c>
      <c r="I44" s="174">
        <f>'Société B'!G45</f>
        <v>1169.6899999999996</v>
      </c>
      <c r="J44" s="175">
        <f>'Société B'!H45</f>
        <v>0</v>
      </c>
      <c r="K44" s="173">
        <f>+'Société A'!F44</f>
        <v>26662.5</v>
      </c>
      <c r="L44" s="174">
        <f>+'Société A'!G44</f>
        <v>40468.070000000007</v>
      </c>
      <c r="M44" s="175">
        <f>+'Société A'!H44</f>
        <v>1447.4799999999998</v>
      </c>
      <c r="N44" s="177">
        <f t="shared" ref="N44" si="39">+B44+C44+E44+F44+H44+I44+K44+L44</f>
        <v>79641.760000000009</v>
      </c>
      <c r="O44" s="175">
        <f t="shared" ref="O44" si="40">+D44+G44+M44+J44</f>
        <v>1447.4799999999998</v>
      </c>
      <c r="P44" s="177">
        <v>0</v>
      </c>
      <c r="Q44" s="179">
        <f>Consultants!E23+Consultants!E171</f>
        <v>7095</v>
      </c>
      <c r="R44" s="184">
        <f t="shared" si="4"/>
        <v>-0.20379650073027011</v>
      </c>
      <c r="S44" s="186">
        <f t="shared" si="38"/>
        <v>-88184.24</v>
      </c>
      <c r="T4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</row>
    <row r="45" spans="1:137" s="75" customFormat="1" ht="17.25" customHeight="1" x14ac:dyDescent="0.2">
      <c r="A45" s="52">
        <v>45261</v>
      </c>
      <c r="B45" s="173">
        <f>+'Société C-1'!F47</f>
        <v>375</v>
      </c>
      <c r="C45" s="174">
        <f>+'Société C-1'!G47</f>
        <v>3248.25</v>
      </c>
      <c r="D45" s="175">
        <f>+'Société C-1'!H47</f>
        <v>0</v>
      </c>
      <c r="E45" s="174">
        <v>0</v>
      </c>
      <c r="F45" s="174">
        <v>0</v>
      </c>
      <c r="G45" s="174">
        <v>0</v>
      </c>
      <c r="H45" s="173">
        <f>'Société B'!F46</f>
        <v>1562.5</v>
      </c>
      <c r="I45" s="174">
        <f>'Société B'!G46</f>
        <v>1675.3300000000002</v>
      </c>
      <c r="J45" s="175">
        <f>'Société B'!H46</f>
        <v>0</v>
      </c>
      <c r="K45" s="173">
        <f>+'Société A'!F45</f>
        <v>12831.25</v>
      </c>
      <c r="L45" s="174">
        <f>+'Société A'!G45</f>
        <v>22892.160000000003</v>
      </c>
      <c r="M45" s="175">
        <f>+'Société A'!H45</f>
        <v>545.46000000000015</v>
      </c>
      <c r="N45" s="177">
        <f t="shared" ref="N45" si="41">+B45+C45+E45+F45+H45+I45+K45+L45</f>
        <v>42584.490000000005</v>
      </c>
      <c r="O45" s="175">
        <f t="shared" ref="O45" si="42">+D45+G45+M45+J45</f>
        <v>545.46000000000015</v>
      </c>
      <c r="P45" s="177">
        <f>+'Facturation Client'!I30</f>
        <v>197699.95</v>
      </c>
      <c r="Q45" s="179">
        <f>+Consultants!E150</f>
        <v>1380</v>
      </c>
      <c r="R45" s="184">
        <f t="shared" si="4"/>
        <v>8.7349063238751938</v>
      </c>
      <c r="S45" s="186">
        <f t="shared" ref="S45" si="43">+P45-N45-O45-Q45</f>
        <v>153190.00000000003</v>
      </c>
      <c r="T4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</row>
    <row r="46" spans="1:137" s="75" customFormat="1" ht="17.25" customHeight="1" x14ac:dyDescent="0.2">
      <c r="A46" s="52">
        <v>45292</v>
      </c>
      <c r="B46" s="173">
        <f>+'Société C-1'!F48</f>
        <v>625</v>
      </c>
      <c r="C46" s="174">
        <f>+'Société C-1'!G48</f>
        <v>1336.89</v>
      </c>
      <c r="D46" s="175">
        <f>+'Société C-1'!H48</f>
        <v>0</v>
      </c>
      <c r="E46" s="174">
        <v>0</v>
      </c>
      <c r="F46" s="174">
        <v>0</v>
      </c>
      <c r="G46" s="174">
        <v>0</v>
      </c>
      <c r="H46" s="173">
        <f>'Société B'!F47</f>
        <v>1062.5</v>
      </c>
      <c r="I46" s="174">
        <f>'Société B'!G47</f>
        <v>131.09999999999991</v>
      </c>
      <c r="J46" s="175">
        <f>'Société B'!H47</f>
        <v>0</v>
      </c>
      <c r="K46" s="173">
        <f>+'Société A'!F46</f>
        <v>15912.5</v>
      </c>
      <c r="L46" s="174">
        <f>+'Société A'!G46</f>
        <v>27012.550000000003</v>
      </c>
      <c r="M46" s="175">
        <f>+'Société A'!H46</f>
        <v>1602.14</v>
      </c>
      <c r="N46" s="177">
        <f t="shared" ref="N46:N48" si="44">+B46+C46+E46+F46+H46+I46+K46+L46</f>
        <v>46080.540000000008</v>
      </c>
      <c r="O46" s="175">
        <f t="shared" ref="O46:O48" si="45">+D46+G46+M46+J46</f>
        <v>1602.14</v>
      </c>
      <c r="P46" s="177">
        <v>0</v>
      </c>
      <c r="Q46" s="179">
        <v>0</v>
      </c>
      <c r="R46" s="184">
        <f t="shared" si="4"/>
        <v>-6.6059685932499917E-2</v>
      </c>
      <c r="S46" s="186">
        <f t="shared" ref="S46:S48" si="46">+P46-N46-O46-Q46</f>
        <v>-47682.680000000008</v>
      </c>
      <c r="T46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</row>
    <row r="47" spans="1:137" s="75" customFormat="1" ht="17.25" customHeight="1" x14ac:dyDescent="0.2">
      <c r="A47" s="52">
        <v>45323</v>
      </c>
      <c r="B47" s="173">
        <f>+'Société C-1'!F49</f>
        <v>812.5</v>
      </c>
      <c r="C47" s="174">
        <f>+'Société C-1'!G49</f>
        <v>2085.4899999999998</v>
      </c>
      <c r="D47" s="175">
        <f>+'Société C-1'!H49</f>
        <v>0</v>
      </c>
      <c r="E47" s="174">
        <v>0</v>
      </c>
      <c r="F47" s="174">
        <v>0</v>
      </c>
      <c r="G47" s="174">
        <v>0</v>
      </c>
      <c r="H47" s="173">
        <f>'Société B'!F48</f>
        <v>1718.75</v>
      </c>
      <c r="I47" s="174">
        <f>'Société B'!G48</f>
        <v>1883.85</v>
      </c>
      <c r="J47" s="175">
        <f>'Société B'!H48</f>
        <v>0</v>
      </c>
      <c r="K47" s="173">
        <f>+'Société A'!F47</f>
        <v>19418.75</v>
      </c>
      <c r="L47" s="174">
        <f>+'Société A'!G47</f>
        <v>28120.880000000005</v>
      </c>
      <c r="M47" s="175">
        <f>+'Société A'!H47</f>
        <v>742.78</v>
      </c>
      <c r="N47" s="177">
        <f t="shared" si="44"/>
        <v>54040.22</v>
      </c>
      <c r="O47" s="175">
        <f t="shared" si="45"/>
        <v>742.78</v>
      </c>
      <c r="P47" s="177">
        <v>0</v>
      </c>
      <c r="Q47" s="179">
        <f>+Consultants!E151+Consultants!E152</f>
        <v>3055</v>
      </c>
      <c r="R47" s="184">
        <f t="shared" si="4"/>
        <v>-0.13352614034509852</v>
      </c>
      <c r="S47" s="186">
        <f t="shared" si="46"/>
        <v>-57838</v>
      </c>
      <c r="T4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</row>
    <row r="48" spans="1:137" s="75" customFormat="1" ht="17.25" customHeight="1" x14ac:dyDescent="0.2">
      <c r="A48" s="52">
        <v>45352</v>
      </c>
      <c r="B48" s="173">
        <f>+'Société C-1'!F50</f>
        <v>375</v>
      </c>
      <c r="C48" s="174">
        <f>+'Société C-1'!G50</f>
        <v>2126.34</v>
      </c>
      <c r="D48" s="175">
        <f>+'Société C-1'!H50</f>
        <v>0</v>
      </c>
      <c r="E48" s="174">
        <v>0</v>
      </c>
      <c r="F48" s="174">
        <v>0</v>
      </c>
      <c r="G48" s="174">
        <v>0</v>
      </c>
      <c r="H48" s="173">
        <f>'Société B'!F49</f>
        <v>1281.25</v>
      </c>
      <c r="I48" s="174">
        <f>'Société B'!G49</f>
        <v>171</v>
      </c>
      <c r="J48" s="175">
        <f>'Société B'!H49</f>
        <v>0</v>
      </c>
      <c r="K48" s="173">
        <f>+'Société A'!F48</f>
        <v>14087.5</v>
      </c>
      <c r="L48" s="174">
        <f>+'Société A'!G48</f>
        <v>20716.740000000002</v>
      </c>
      <c r="M48" s="175">
        <f>+'Société A'!H48</f>
        <v>635.19000000000005</v>
      </c>
      <c r="N48" s="177">
        <f t="shared" si="44"/>
        <v>38757.83</v>
      </c>
      <c r="O48" s="175">
        <f t="shared" si="45"/>
        <v>635.19000000000005</v>
      </c>
      <c r="P48" s="177">
        <v>0</v>
      </c>
      <c r="Q48" s="179">
        <f>+Consultants!E24+Consultants!E56+Consultants!E153</f>
        <v>8737.5</v>
      </c>
      <c r="R48" s="184">
        <f t="shared" si="4"/>
        <v>-0.45947131199037716</v>
      </c>
      <c r="S48" s="186">
        <f t="shared" si="46"/>
        <v>-48130.520000000004</v>
      </c>
      <c r="T4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</row>
    <row r="49" spans="1:137" s="75" customFormat="1" ht="17.25" customHeight="1" x14ac:dyDescent="0.2">
      <c r="A49" s="52">
        <v>45383</v>
      </c>
      <c r="B49" s="173">
        <f>+'Société C-1'!F51</f>
        <v>750</v>
      </c>
      <c r="C49" s="174">
        <f>+'Société C-1'!G51</f>
        <v>1675.8000000000002</v>
      </c>
      <c r="D49" s="175">
        <f>+'Société C-1'!H51</f>
        <v>0</v>
      </c>
      <c r="E49" s="174">
        <v>0</v>
      </c>
      <c r="F49" s="174">
        <v>0</v>
      </c>
      <c r="G49" s="174">
        <v>0</v>
      </c>
      <c r="H49" s="173">
        <f>'Société B'!F50</f>
        <v>1187.5</v>
      </c>
      <c r="I49" s="174">
        <f>'Société B'!G50</f>
        <v>226.6</v>
      </c>
      <c r="J49" s="175">
        <f>'Société B'!H50</f>
        <v>0</v>
      </c>
      <c r="K49" s="173">
        <f>+'Société A'!F49</f>
        <v>18106.25</v>
      </c>
      <c r="L49" s="174">
        <f>+'Société A'!G49</f>
        <v>17224.22</v>
      </c>
      <c r="M49" s="175">
        <f>+'Société A'!H49</f>
        <v>482.96000000000004</v>
      </c>
      <c r="N49" s="177">
        <f t="shared" ref="N49:N50" si="47">+B49+C49+E49+F49+H49+I49+K49+L49</f>
        <v>39170.370000000003</v>
      </c>
      <c r="O49" s="175">
        <f t="shared" ref="O49:O50" si="48">+D49+G49+M49+J49</f>
        <v>482.96000000000004</v>
      </c>
      <c r="P49" s="177">
        <f>+'Facturation Client'!I31</f>
        <v>114880.64</v>
      </c>
      <c r="Q49" s="179">
        <f>+Consultants!E25</f>
        <v>138.75</v>
      </c>
      <c r="R49" s="184">
        <f t="shared" si="4"/>
        <v>5.5422495881453235</v>
      </c>
      <c r="S49" s="186">
        <f t="shared" ref="S49:S57" si="49">+P49-N49-O49-Q49</f>
        <v>75088.559999999983</v>
      </c>
      <c r="T49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</row>
    <row r="50" spans="1:137" s="75" customFormat="1" ht="17.25" customHeight="1" x14ac:dyDescent="0.2">
      <c r="A50" s="52">
        <v>45413</v>
      </c>
      <c r="B50" s="173">
        <f>+'Société C-1'!F52</f>
        <v>1375</v>
      </c>
      <c r="C50" s="174">
        <f>+'Société C-1'!G52</f>
        <v>2622.48</v>
      </c>
      <c r="D50" s="175">
        <f>+'Société C-1'!H52</f>
        <v>0</v>
      </c>
      <c r="E50" s="174">
        <v>0</v>
      </c>
      <c r="F50" s="174">
        <v>0</v>
      </c>
      <c r="G50" s="174">
        <v>0</v>
      </c>
      <c r="H50" s="173">
        <f>'Société B'!F51</f>
        <v>1062.5</v>
      </c>
      <c r="I50" s="174">
        <f>'Société B'!G51</f>
        <v>101.97</v>
      </c>
      <c r="J50" s="175">
        <f>'Société B'!H51</f>
        <v>0</v>
      </c>
      <c r="K50" s="173">
        <f>+'Société A'!F50</f>
        <v>16137.5</v>
      </c>
      <c r="L50" s="174">
        <f>+'Société A'!G50</f>
        <v>21649.809999999998</v>
      </c>
      <c r="M50" s="175">
        <f>+'Société A'!H50</f>
        <v>820.57</v>
      </c>
      <c r="N50" s="177">
        <f t="shared" si="47"/>
        <v>42949.259999999995</v>
      </c>
      <c r="O50" s="175">
        <f t="shared" si="48"/>
        <v>820.57</v>
      </c>
      <c r="P50" s="177">
        <v>0</v>
      </c>
      <c r="Q50" s="179">
        <f>+Consultants!E154+Consultants!E26</f>
        <v>5732.5</v>
      </c>
      <c r="R50" s="184">
        <f t="shared" si="4"/>
        <v>-0.28989633348746874</v>
      </c>
      <c r="S50" s="186">
        <f t="shared" si="49"/>
        <v>-49502.329999999994</v>
      </c>
      <c r="T50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</row>
    <row r="51" spans="1:137" s="75" customFormat="1" ht="17.25" customHeight="1" x14ac:dyDescent="0.2">
      <c r="A51" s="52">
        <v>45444</v>
      </c>
      <c r="B51" s="173">
        <f>+'Société C-1'!F53</f>
        <v>1000</v>
      </c>
      <c r="C51" s="174">
        <f>+'Société C-1'!G53</f>
        <v>1657.04</v>
      </c>
      <c r="D51" s="175">
        <f>+'Société C-1'!H53</f>
        <v>0</v>
      </c>
      <c r="E51" s="174">
        <v>0</v>
      </c>
      <c r="F51" s="174">
        <v>0</v>
      </c>
      <c r="G51" s="174">
        <v>0</v>
      </c>
      <c r="H51" s="173">
        <f>'Société B'!F52</f>
        <v>812.5</v>
      </c>
      <c r="I51" s="174">
        <f>'Société B'!G52</f>
        <v>72.63</v>
      </c>
      <c r="J51" s="175">
        <f>'Société B'!H52</f>
        <v>0</v>
      </c>
      <c r="K51" s="173">
        <f>+'Société A'!F51</f>
        <v>13450</v>
      </c>
      <c r="L51" s="174">
        <f>+'Société A'!G51</f>
        <v>18035.29</v>
      </c>
      <c r="M51" s="175">
        <f>+'Société A'!H51</f>
        <v>967.07</v>
      </c>
      <c r="N51" s="177">
        <f>+B51+C51+E51+F51+H51+I51+K51+L51</f>
        <v>35027.46</v>
      </c>
      <c r="O51" s="175">
        <f>+D51+G51+M51+J51</f>
        <v>967.07</v>
      </c>
      <c r="P51" s="177">
        <v>0</v>
      </c>
      <c r="Q51" s="179">
        <f>+Consultants!E57+Consultants!E155</f>
        <v>10215</v>
      </c>
      <c r="R51" s="184">
        <f t="shared" si="4"/>
        <v>-0.60655077473502217</v>
      </c>
      <c r="S51" s="186">
        <f t="shared" si="49"/>
        <v>-46209.53</v>
      </c>
      <c r="T5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</row>
    <row r="52" spans="1:137" s="75" customFormat="1" ht="17.25" customHeight="1" x14ac:dyDescent="0.2">
      <c r="A52" s="52">
        <v>45474</v>
      </c>
      <c r="B52" s="173">
        <f>+'Société C-1'!F54</f>
        <v>500</v>
      </c>
      <c r="C52" s="174">
        <f>+'Société C-1'!G54</f>
        <v>3581.75</v>
      </c>
      <c r="D52" s="175">
        <f>+'Société C-1'!H54</f>
        <v>0</v>
      </c>
      <c r="E52" s="174">
        <v>0</v>
      </c>
      <c r="F52" s="174">
        <v>0</v>
      </c>
      <c r="G52" s="174">
        <v>0</v>
      </c>
      <c r="H52" s="173">
        <f>'Société B'!F53</f>
        <v>812.5</v>
      </c>
      <c r="I52" s="174">
        <f>'Société B'!G53</f>
        <v>45.32</v>
      </c>
      <c r="J52" s="175">
        <f>'Société B'!H53</f>
        <v>0</v>
      </c>
      <c r="K52" s="173">
        <f>+'Société A'!F52</f>
        <v>15325</v>
      </c>
      <c r="L52" s="174">
        <f>+'Société A'!G52</f>
        <v>23860.929999999993</v>
      </c>
      <c r="M52" s="175">
        <f>+'Société A'!H52</f>
        <v>1859.16</v>
      </c>
      <c r="N52" s="177">
        <f t="shared" ref="N52:N57" si="50">+B52+C52+E52+F52+H52+I52+K52+L52</f>
        <v>44125.499999999993</v>
      </c>
      <c r="O52" s="175">
        <f t="shared" ref="O52:O57" si="51">+D52+G52+M52+J52</f>
        <v>1859.16</v>
      </c>
      <c r="P52" s="177">
        <v>0</v>
      </c>
      <c r="Q52" s="179">
        <f>+Consultants!E27</f>
        <v>5545</v>
      </c>
      <c r="R52" s="184">
        <f t="shared" si="4"/>
        <v>-0.318815741464686</v>
      </c>
      <c r="S52" s="186">
        <f t="shared" si="49"/>
        <v>-51529.659999999996</v>
      </c>
      <c r="T5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</row>
    <row r="53" spans="1:137" s="75" customFormat="1" ht="17.25" customHeight="1" x14ac:dyDescent="0.2">
      <c r="A53" s="52">
        <v>45505</v>
      </c>
      <c r="B53" s="173">
        <f>+'Société C-1'!F55</f>
        <v>375</v>
      </c>
      <c r="C53" s="174">
        <f>+'Société C-1'!G55</f>
        <v>2057.23</v>
      </c>
      <c r="D53" s="175">
        <f>+'Société C-1'!H55</f>
        <v>0</v>
      </c>
      <c r="E53" s="174">
        <v>0</v>
      </c>
      <c r="F53" s="174">
        <v>0</v>
      </c>
      <c r="G53" s="174">
        <v>0</v>
      </c>
      <c r="H53" s="173">
        <f>'Société B'!F54</f>
        <v>781.25</v>
      </c>
      <c r="I53" s="174">
        <f>'Société B'!G54</f>
        <v>0</v>
      </c>
      <c r="J53" s="175">
        <f>'Société B'!H54</f>
        <v>0</v>
      </c>
      <c r="K53" s="173">
        <f>+'Société A'!F53</f>
        <v>10293.75</v>
      </c>
      <c r="L53" s="174">
        <f>+'Société A'!G53</f>
        <v>9006.489999999998</v>
      </c>
      <c r="M53" s="175">
        <f>+'Société A'!H53</f>
        <v>122.63</v>
      </c>
      <c r="N53" s="177">
        <f t="shared" si="50"/>
        <v>22513.719999999998</v>
      </c>
      <c r="O53" s="175">
        <f t="shared" si="51"/>
        <v>122.63</v>
      </c>
      <c r="P53" s="177">
        <f>+'Facturation Client'!I32+'Facturation Client'!I33</f>
        <v>915820.16000000015</v>
      </c>
      <c r="Q53" s="179">
        <f>+Consultants!E28</f>
        <v>323.75</v>
      </c>
      <c r="R53" s="184">
        <f t="shared" si="4"/>
        <v>77.251124292209397</v>
      </c>
      <c r="S53" s="186">
        <f t="shared" si="49"/>
        <v>892860.06000000017</v>
      </c>
      <c r="T5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</row>
    <row r="54" spans="1:137" s="75" customFormat="1" ht="17.25" customHeight="1" x14ac:dyDescent="0.2">
      <c r="A54" s="52">
        <v>45536</v>
      </c>
      <c r="B54" s="173">
        <f>+'Société C-1'!F56</f>
        <v>875</v>
      </c>
      <c r="C54" s="174">
        <f>+'Société C-1'!G56</f>
        <v>1831.6100000000001</v>
      </c>
      <c r="D54" s="175">
        <f>+'Société C-1'!H56</f>
        <v>0</v>
      </c>
      <c r="E54" s="174">
        <v>0</v>
      </c>
      <c r="F54" s="174">
        <v>0</v>
      </c>
      <c r="G54" s="174">
        <v>0</v>
      </c>
      <c r="H54" s="173">
        <f>'Société B'!F55</f>
        <v>125</v>
      </c>
      <c r="I54" s="174">
        <f>'Société B'!G55</f>
        <v>19.38</v>
      </c>
      <c r="J54" s="175">
        <f>'Société B'!H55</f>
        <v>0</v>
      </c>
      <c r="K54" s="173">
        <f>+'Société A'!F54</f>
        <v>5993.75</v>
      </c>
      <c r="L54" s="174">
        <f>+'Société A'!G54</f>
        <v>12980.809999999998</v>
      </c>
      <c r="M54" s="175">
        <f>+'Société A'!H54</f>
        <v>486.97</v>
      </c>
      <c r="N54" s="177">
        <f t="shared" si="50"/>
        <v>21825.549999999996</v>
      </c>
      <c r="O54" s="175">
        <f t="shared" si="51"/>
        <v>486.97</v>
      </c>
      <c r="P54" s="177">
        <v>0</v>
      </c>
      <c r="Q54" s="179">
        <f>+Consultants!E58+Consultants!E29+Consultants!E156</f>
        <v>5050</v>
      </c>
      <c r="R54" s="184">
        <f t="shared" si="4"/>
        <v>-0.48201502367637938</v>
      </c>
      <c r="S54" s="186">
        <f t="shared" si="49"/>
        <v>-27362.519999999997</v>
      </c>
      <c r="T5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</row>
    <row r="55" spans="1:137" s="75" customFormat="1" ht="17.25" customHeight="1" x14ac:dyDescent="0.2">
      <c r="A55" s="52">
        <v>45566</v>
      </c>
      <c r="B55" s="173">
        <f>+'Société C-1'!F57</f>
        <v>437.5</v>
      </c>
      <c r="C55" s="174">
        <f>+'Société C-1'!G57</f>
        <v>2063.4</v>
      </c>
      <c r="D55" s="175">
        <f>+'Société C-1'!H57</f>
        <v>0</v>
      </c>
      <c r="E55" s="174">
        <v>0</v>
      </c>
      <c r="F55" s="174">
        <v>0</v>
      </c>
      <c r="G55" s="174">
        <v>0</v>
      </c>
      <c r="H55" s="173">
        <f>'Société B'!F56</f>
        <v>218.75</v>
      </c>
      <c r="I55" s="174">
        <f>'Société B'!G56</f>
        <v>0</v>
      </c>
      <c r="J55" s="175">
        <f>'Société B'!H56</f>
        <v>0</v>
      </c>
      <c r="K55" s="173">
        <f>+'Société A'!F55</f>
        <v>6668.75</v>
      </c>
      <c r="L55" s="174">
        <f>+'Société A'!G55</f>
        <v>14009.190000000002</v>
      </c>
      <c r="M55" s="175">
        <f>+'Société A'!H55</f>
        <v>1075.46</v>
      </c>
      <c r="N55" s="177">
        <f t="shared" si="50"/>
        <v>23397.590000000004</v>
      </c>
      <c r="O55" s="175">
        <f t="shared" si="51"/>
        <v>1075.46</v>
      </c>
      <c r="P55" s="177">
        <v>0</v>
      </c>
      <c r="Q55" s="179">
        <f>+Consultants!E172+Consultants!E173+Consultants!E174</f>
        <v>5557.5</v>
      </c>
      <c r="R55" s="184">
        <f t="shared" si="4"/>
        <v>-0.53862914941239659</v>
      </c>
      <c r="S55" s="186">
        <f t="shared" si="49"/>
        <v>-30030.550000000003</v>
      </c>
      <c r="T55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</row>
    <row r="56" spans="1:137" s="75" customFormat="1" ht="17.25" customHeight="1" x14ac:dyDescent="0.2">
      <c r="A56" s="52">
        <v>45597</v>
      </c>
      <c r="B56" s="173">
        <f>+'Société C-1'!F58</f>
        <v>500</v>
      </c>
      <c r="C56" s="174">
        <f>+'Société C-1'!G58</f>
        <v>1746.58</v>
      </c>
      <c r="D56" s="175">
        <f>+'Société C-1'!H58</f>
        <v>0</v>
      </c>
      <c r="E56" s="174">
        <v>0</v>
      </c>
      <c r="F56" s="174">
        <v>0</v>
      </c>
      <c r="G56" s="174">
        <v>0</v>
      </c>
      <c r="H56" s="173">
        <f>'Société B'!F57</f>
        <v>156.25</v>
      </c>
      <c r="I56" s="174">
        <f>'Société B'!G57</f>
        <v>95</v>
      </c>
      <c r="J56" s="175">
        <f>'Société B'!H57</f>
        <v>0</v>
      </c>
      <c r="K56" s="173">
        <f>+'Société A'!F56</f>
        <v>4243.75</v>
      </c>
      <c r="L56" s="174">
        <f>+'Société A'!G56</f>
        <v>5746.5599999999995</v>
      </c>
      <c r="M56" s="175">
        <f>+'Société A'!H56</f>
        <v>0</v>
      </c>
      <c r="N56" s="177">
        <f t="shared" si="50"/>
        <v>12488.14</v>
      </c>
      <c r="O56" s="175">
        <f t="shared" si="51"/>
        <v>0</v>
      </c>
      <c r="P56" s="177">
        <f>+'Facturation Client'!I34</f>
        <v>19175.439999999999</v>
      </c>
      <c r="Q56" s="179">
        <f>+Consultants!E164</f>
        <v>4250</v>
      </c>
      <c r="R56" s="184">
        <f t="shared" si="4"/>
        <v>2.2708214353778864</v>
      </c>
      <c r="S56" s="186">
        <f t="shared" si="49"/>
        <v>2437.2999999999993</v>
      </c>
      <c r="T56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</row>
    <row r="57" spans="1:137" s="75" customFormat="1" ht="17.25" customHeight="1" x14ac:dyDescent="0.2">
      <c r="A57" s="52">
        <v>45627</v>
      </c>
      <c r="B57" s="173">
        <f>+'Société C-1'!F59</f>
        <v>437.5</v>
      </c>
      <c r="C57" s="174">
        <f>+'Société C-1'!G59</f>
        <v>1445.43</v>
      </c>
      <c r="D57" s="175">
        <f>+'Société C-1'!H59</f>
        <v>0</v>
      </c>
      <c r="E57" s="174">
        <v>0</v>
      </c>
      <c r="F57" s="174">
        <v>0</v>
      </c>
      <c r="G57" s="174">
        <v>0</v>
      </c>
      <c r="H57" s="173">
        <f>'Société B'!F58</f>
        <v>468.75</v>
      </c>
      <c r="I57" s="174">
        <f>'Société B'!G58</f>
        <v>0</v>
      </c>
      <c r="J57" s="175">
        <f>'Société B'!H58</f>
        <v>0</v>
      </c>
      <c r="K57" s="173">
        <f>+'Société A'!F57</f>
        <v>875</v>
      </c>
      <c r="L57" s="174">
        <f>+'Société A'!G57</f>
        <v>2340.1</v>
      </c>
      <c r="M57" s="175">
        <f>+'Société A'!H57</f>
        <v>0</v>
      </c>
      <c r="N57" s="177">
        <f t="shared" si="50"/>
        <v>5566.7800000000007</v>
      </c>
      <c r="O57" s="175">
        <f t="shared" si="51"/>
        <v>0</v>
      </c>
      <c r="P57" s="177">
        <v>0</v>
      </c>
      <c r="Q57" s="179">
        <v>0</v>
      </c>
      <c r="R57" s="184">
        <f t="shared" si="4"/>
        <v>0</v>
      </c>
      <c r="S57" s="186">
        <f t="shared" si="49"/>
        <v>-5566.7800000000007</v>
      </c>
      <c r="T57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</row>
    <row r="58" spans="1:137" s="75" customFormat="1" ht="17.25" customHeight="1" x14ac:dyDescent="0.2">
      <c r="A58" s="52">
        <v>45658</v>
      </c>
      <c r="B58" s="173">
        <f>+'Société C-1'!F60</f>
        <v>500</v>
      </c>
      <c r="C58" s="174">
        <f>+'Société C-1'!G60</f>
        <v>1787.56</v>
      </c>
      <c r="D58" s="175">
        <f>+'Société C-1'!H60</f>
        <v>0</v>
      </c>
      <c r="E58" s="174">
        <v>0</v>
      </c>
      <c r="F58" s="174">
        <v>0</v>
      </c>
      <c r="G58" s="174">
        <v>0</v>
      </c>
      <c r="H58" s="173">
        <f>'Société B'!F59</f>
        <v>31.25</v>
      </c>
      <c r="I58" s="174">
        <f>'Société B'!G59</f>
        <v>0</v>
      </c>
      <c r="J58" s="175">
        <f>'Société B'!H59</f>
        <v>0</v>
      </c>
      <c r="K58" s="173">
        <f>+'Société A'!F58</f>
        <v>1812.5</v>
      </c>
      <c r="L58" s="174">
        <f>+'Société A'!G58</f>
        <v>3929.6800000000003</v>
      </c>
      <c r="M58" s="175">
        <f>+'Société A'!H58</f>
        <v>78.400000000000006</v>
      </c>
      <c r="N58" s="177">
        <f t="shared" ref="N58:N60" si="52">+B58+C58+E58+F58+H58+I58+K58+L58</f>
        <v>8060.99</v>
      </c>
      <c r="O58" s="175">
        <f t="shared" ref="O58:O60" si="53">+D58+G58+M58+J58</f>
        <v>78.400000000000006</v>
      </c>
      <c r="P58" s="177">
        <v>0</v>
      </c>
      <c r="Q58" s="179">
        <f>+Consultants!E165</f>
        <v>4250</v>
      </c>
      <c r="R58" s="184">
        <f t="shared" ref="R58:R60" si="54">(P58-O58-Q58)/(N58/1.9)</f>
        <v>-1.0202171197334322</v>
      </c>
      <c r="S58" s="186">
        <f t="shared" ref="S58:S60" si="55">+P58-N58-O58-Q58</f>
        <v>-12389.39</v>
      </c>
      <c r="T5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</row>
    <row r="59" spans="1:137" s="75" customFormat="1" ht="17.25" customHeight="1" x14ac:dyDescent="0.2">
      <c r="A59" s="52">
        <v>45689</v>
      </c>
      <c r="B59" s="173">
        <f>+'Société C-1'!F61</f>
        <v>250</v>
      </c>
      <c r="C59" s="174">
        <f>+'Société C-1'!G61</f>
        <v>1763.34</v>
      </c>
      <c r="D59" s="175">
        <f>+'Société C-1'!H61</f>
        <v>0</v>
      </c>
      <c r="E59" s="174">
        <v>0</v>
      </c>
      <c r="F59" s="174">
        <v>0</v>
      </c>
      <c r="G59" s="174">
        <v>0</v>
      </c>
      <c r="H59" s="173">
        <f>'Société B'!F60</f>
        <v>343.75</v>
      </c>
      <c r="I59" s="174">
        <f>'Société B'!G60</f>
        <v>31</v>
      </c>
      <c r="J59" s="175">
        <f>'Société B'!H60</f>
        <v>0</v>
      </c>
      <c r="K59" s="173">
        <f>+'Société A'!F59</f>
        <v>2562.5</v>
      </c>
      <c r="L59" s="174">
        <f>+'Société A'!G59</f>
        <v>3294.76</v>
      </c>
      <c r="M59" s="175">
        <f>+'Société A'!H59</f>
        <v>0</v>
      </c>
      <c r="N59" s="177">
        <f t="shared" si="52"/>
        <v>8245.35</v>
      </c>
      <c r="O59" s="175">
        <f t="shared" si="53"/>
        <v>0</v>
      </c>
      <c r="P59" s="177">
        <v>0</v>
      </c>
      <c r="Q59" s="179">
        <f>+Consultants!E30</f>
        <v>138.75</v>
      </c>
      <c r="R59" s="184">
        <f t="shared" si="54"/>
        <v>-3.1972566355582231E-2</v>
      </c>
      <c r="S59" s="186">
        <f t="shared" si="55"/>
        <v>-8384.1</v>
      </c>
      <c r="T59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</row>
    <row r="60" spans="1:137" s="75" customFormat="1" ht="17.25" customHeight="1" x14ac:dyDescent="0.2">
      <c r="A60" s="52">
        <v>45717</v>
      </c>
      <c r="B60" s="173">
        <f>+'Société C-1'!F62</f>
        <v>312.5</v>
      </c>
      <c r="C60" s="174">
        <f>+'Société C-1'!G62</f>
        <v>861.44</v>
      </c>
      <c r="D60" s="175">
        <f>+'Société C-1'!H62</f>
        <v>0</v>
      </c>
      <c r="E60" s="174">
        <v>0</v>
      </c>
      <c r="F60" s="174">
        <v>0</v>
      </c>
      <c r="G60" s="174">
        <v>0</v>
      </c>
      <c r="H60" s="173">
        <f>'Société B'!F61</f>
        <v>0</v>
      </c>
      <c r="I60" s="174">
        <f>'Société B'!G61</f>
        <v>0</v>
      </c>
      <c r="J60" s="175">
        <f>'Société B'!H61</f>
        <v>0</v>
      </c>
      <c r="K60" s="173">
        <f>+'Société A'!F60</f>
        <v>3031.25</v>
      </c>
      <c r="L60" s="174">
        <f>+'Société A'!G60</f>
        <v>2641.4799999999996</v>
      </c>
      <c r="M60" s="175">
        <f>+'Société A'!H60</f>
        <v>0</v>
      </c>
      <c r="N60" s="177">
        <f t="shared" si="52"/>
        <v>6846.67</v>
      </c>
      <c r="O60" s="175">
        <f t="shared" si="53"/>
        <v>0</v>
      </c>
      <c r="P60" s="177">
        <v>0</v>
      </c>
      <c r="Q60" s="179">
        <f>+Consultants!E59</f>
        <v>2986.25</v>
      </c>
      <c r="R60" s="184">
        <f t="shared" si="54"/>
        <v>-0.8287057795979651</v>
      </c>
      <c r="S60" s="186">
        <f t="shared" si="55"/>
        <v>-9832.92</v>
      </c>
      <c r="T60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</row>
    <row r="61" spans="1:137" s="75" customFormat="1" ht="17.25" customHeight="1" x14ac:dyDescent="0.2">
      <c r="A61" s="52">
        <v>45748</v>
      </c>
      <c r="B61" s="173">
        <f>+'Société C-1'!F63</f>
        <v>437.5</v>
      </c>
      <c r="C61" s="174">
        <f>+'Société C-1'!G63</f>
        <v>2058.5500000000002</v>
      </c>
      <c r="D61" s="175">
        <f>+'Société C-1'!H63</f>
        <v>0</v>
      </c>
      <c r="E61" s="174">
        <v>0</v>
      </c>
      <c r="F61" s="174">
        <v>0</v>
      </c>
      <c r="G61" s="174">
        <v>0</v>
      </c>
      <c r="H61" s="173">
        <f>'Société B'!F62</f>
        <v>125</v>
      </c>
      <c r="I61" s="174">
        <f>'Société B'!G62</f>
        <v>29.45</v>
      </c>
      <c r="J61" s="175">
        <f>'Société B'!H62</f>
        <v>0</v>
      </c>
      <c r="K61" s="173">
        <f>+'Société A'!F61</f>
        <v>3750</v>
      </c>
      <c r="L61" s="174">
        <f>+'Société A'!G61</f>
        <v>2460.5100000000002</v>
      </c>
      <c r="M61" s="175">
        <f>+'Société A'!H61</f>
        <v>0</v>
      </c>
      <c r="N61" s="177">
        <f t="shared" ref="N61:N63" si="56">+B61+C61+E61+F61+H61+I61+K61+L61</f>
        <v>8861.01</v>
      </c>
      <c r="O61" s="175">
        <f t="shared" ref="O61:O63" si="57">+D61+G61+M61+J61</f>
        <v>0</v>
      </c>
      <c r="P61" s="177">
        <v>0</v>
      </c>
      <c r="Q61" s="179">
        <v>0</v>
      </c>
      <c r="R61" s="184">
        <f t="shared" ref="R61:R63" si="58">(P61-O61-Q61)/(N61/1.9)</f>
        <v>0</v>
      </c>
      <c r="S61" s="186">
        <f t="shared" ref="S61:S63" si="59">+P61-N61-O61-Q61</f>
        <v>-8861.01</v>
      </c>
      <c r="T6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</row>
    <row r="62" spans="1:137" s="75" customFormat="1" ht="17.25" customHeight="1" x14ac:dyDescent="0.2">
      <c r="A62" s="52">
        <v>45778</v>
      </c>
      <c r="B62" s="173">
        <f>+'Société C-1'!F64</f>
        <v>375</v>
      </c>
      <c r="C62" s="174">
        <f>+'Société C-1'!G64</f>
        <v>1796.7199999999998</v>
      </c>
      <c r="D62" s="175">
        <f>+'Société C-1'!H64</f>
        <v>62</v>
      </c>
      <c r="E62" s="174">
        <v>0</v>
      </c>
      <c r="F62" s="174">
        <v>0</v>
      </c>
      <c r="G62" s="174">
        <v>0</v>
      </c>
      <c r="H62" s="173">
        <f>'Société B'!F63</f>
        <v>625</v>
      </c>
      <c r="I62" s="174">
        <f>'Société B'!G63</f>
        <v>29.45</v>
      </c>
      <c r="J62" s="175">
        <f>'Société B'!H63</f>
        <v>0</v>
      </c>
      <c r="K62" s="173">
        <f>+'Société A'!F62</f>
        <v>3025</v>
      </c>
      <c r="L62" s="174">
        <f>+'Société A'!G62</f>
        <v>2810.8199999999997</v>
      </c>
      <c r="M62" s="175">
        <f>+'Société A'!H62</f>
        <v>0</v>
      </c>
      <c r="N62" s="177">
        <f t="shared" si="56"/>
        <v>8661.99</v>
      </c>
      <c r="O62" s="175">
        <f t="shared" si="57"/>
        <v>62</v>
      </c>
      <c r="P62" s="177">
        <v>0</v>
      </c>
      <c r="Q62" s="179">
        <v>0</v>
      </c>
      <c r="R62" s="184">
        <f t="shared" si="58"/>
        <v>-1.3599646270660667E-2</v>
      </c>
      <c r="S62" s="186">
        <f t="shared" si="59"/>
        <v>-8723.99</v>
      </c>
      <c r="T6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</row>
    <row r="63" spans="1:137" s="75" customFormat="1" ht="17.25" customHeight="1" x14ac:dyDescent="0.2">
      <c r="A63" s="52">
        <v>45809</v>
      </c>
      <c r="B63" s="173">
        <f>+'Société C-1'!F65</f>
        <v>0</v>
      </c>
      <c r="C63" s="174">
        <f>+'Société C-1'!G65</f>
        <v>715.43</v>
      </c>
      <c r="D63" s="175">
        <f>+'Société C-1'!H65</f>
        <v>0</v>
      </c>
      <c r="E63" s="174">
        <v>0</v>
      </c>
      <c r="F63" s="174">
        <v>0</v>
      </c>
      <c r="G63" s="174">
        <v>0</v>
      </c>
      <c r="H63" s="173">
        <f>'Société B'!F64</f>
        <v>406.25</v>
      </c>
      <c r="I63" s="174">
        <f>'Société B'!G64</f>
        <v>14.73</v>
      </c>
      <c r="J63" s="175">
        <f>'Société B'!H64</f>
        <v>0</v>
      </c>
      <c r="K63" s="173">
        <f>+'Société A'!F63</f>
        <v>2406.25</v>
      </c>
      <c r="L63" s="174">
        <f>+'Société A'!G63</f>
        <v>3513.34</v>
      </c>
      <c r="M63" s="175">
        <f>+'Société A'!H63</f>
        <v>0</v>
      </c>
      <c r="N63" s="177">
        <f t="shared" si="56"/>
        <v>7056</v>
      </c>
      <c r="O63" s="175">
        <f t="shared" si="57"/>
        <v>0</v>
      </c>
      <c r="P63" s="177">
        <v>0</v>
      </c>
      <c r="Q63" s="179">
        <f>+Consultants!E31</f>
        <v>2008.75</v>
      </c>
      <c r="R63" s="184">
        <f t="shared" si="58"/>
        <v>-0.54090490362811794</v>
      </c>
      <c r="S63" s="186">
        <f t="shared" si="59"/>
        <v>-9064.75</v>
      </c>
      <c r="T6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</row>
    <row r="64" spans="1:137" s="75" customFormat="1" ht="17.25" customHeight="1" x14ac:dyDescent="0.2">
      <c r="A64" s="52">
        <v>45839</v>
      </c>
      <c r="B64" s="173">
        <f>+'Société C-1'!F66</f>
        <v>125</v>
      </c>
      <c r="C64" s="174">
        <f>+'Société C-1'!G66</f>
        <v>1393.55</v>
      </c>
      <c r="D64" s="175">
        <f>+'Société C-1'!H66</f>
        <v>0</v>
      </c>
      <c r="E64" s="174">
        <v>0</v>
      </c>
      <c r="F64" s="174">
        <v>0</v>
      </c>
      <c r="G64" s="174">
        <v>0</v>
      </c>
      <c r="H64" s="173">
        <f>'Société B'!F65</f>
        <v>125</v>
      </c>
      <c r="I64" s="174">
        <f>'Société B'!G65</f>
        <v>64.610000000000014</v>
      </c>
      <c r="J64" s="175">
        <f>'Société B'!H65</f>
        <v>0</v>
      </c>
      <c r="K64" s="173">
        <f>+'Société A'!F64</f>
        <v>593.75</v>
      </c>
      <c r="L64" s="174">
        <f>+'Société A'!G64</f>
        <v>2406.35</v>
      </c>
      <c r="M64" s="175">
        <f>+'Société A'!H64</f>
        <v>0</v>
      </c>
      <c r="N64" s="177">
        <f t="shared" ref="N64:N66" si="60">+B64+C64+E64+F64+H64+I64+K64+L64</f>
        <v>4708.26</v>
      </c>
      <c r="O64" s="175">
        <f t="shared" ref="O64:O66" si="61">+D64+G64+M64+J64</f>
        <v>0</v>
      </c>
      <c r="P64" s="177">
        <v>0</v>
      </c>
      <c r="Q64" s="179">
        <v>0</v>
      </c>
      <c r="R64" s="184">
        <f t="shared" ref="R64:R66" si="62">(P64-O64-Q64)/(N64/1.9)</f>
        <v>0</v>
      </c>
      <c r="S64" s="186">
        <f t="shared" ref="S64:S66" si="63">+P64-N64-O64-Q64</f>
        <v>-4708.26</v>
      </c>
      <c r="T6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</row>
    <row r="65" spans="1:137" s="75" customFormat="1" ht="17.25" customHeight="1" x14ac:dyDescent="0.2">
      <c r="A65" s="52">
        <v>45870</v>
      </c>
      <c r="B65" s="173">
        <f>+'Société C-1'!F67</f>
        <v>0</v>
      </c>
      <c r="C65" s="174">
        <f>+'Société C-1'!G67</f>
        <v>2886.25</v>
      </c>
      <c r="D65" s="175">
        <f>+'Société C-1'!H67</f>
        <v>0</v>
      </c>
      <c r="E65" s="174">
        <v>0</v>
      </c>
      <c r="F65" s="174">
        <v>0</v>
      </c>
      <c r="G65" s="174">
        <v>0</v>
      </c>
      <c r="H65" s="173">
        <f>'Société B'!F66</f>
        <v>0</v>
      </c>
      <c r="I65" s="174">
        <f>'Société B'!G66</f>
        <v>87.4</v>
      </c>
      <c r="J65" s="175">
        <f>'Société B'!H66</f>
        <v>0</v>
      </c>
      <c r="K65" s="173">
        <f>+'Société A'!F65</f>
        <v>968.75</v>
      </c>
      <c r="L65" s="174">
        <f>+'Société A'!G65</f>
        <v>1131.9299999999998</v>
      </c>
      <c r="M65" s="175">
        <f>+'Société A'!H65</f>
        <v>0</v>
      </c>
      <c r="N65" s="177">
        <f t="shared" si="60"/>
        <v>5074.33</v>
      </c>
      <c r="O65" s="175">
        <f t="shared" si="61"/>
        <v>0</v>
      </c>
      <c r="P65" s="177">
        <f>+'Facturation Client'!I35</f>
        <v>29784.3</v>
      </c>
      <c r="Q65" s="179">
        <v>0</v>
      </c>
      <c r="R65" s="184">
        <f t="shared" si="62"/>
        <v>11.152244729846107</v>
      </c>
      <c r="S65" s="186">
        <f t="shared" si="63"/>
        <v>24709.97</v>
      </c>
      <c r="T6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</row>
    <row r="66" spans="1:137" s="75" customFormat="1" ht="17.25" customHeight="1" x14ac:dyDescent="0.2">
      <c r="A66" s="52">
        <v>45901</v>
      </c>
      <c r="B66" s="173">
        <f>+'Société C-1'!F68</f>
        <v>0</v>
      </c>
      <c r="C66" s="174">
        <f>+'Société C-1'!G68</f>
        <v>1120.25</v>
      </c>
      <c r="D66" s="175">
        <f>+'Société C-1'!H68</f>
        <v>0</v>
      </c>
      <c r="E66" s="174">
        <v>0</v>
      </c>
      <c r="F66" s="174">
        <v>0</v>
      </c>
      <c r="G66" s="174">
        <v>0</v>
      </c>
      <c r="H66" s="173">
        <f>'Société B'!F67</f>
        <v>187.5</v>
      </c>
      <c r="I66" s="174">
        <f>'Société B'!G67</f>
        <v>16.63</v>
      </c>
      <c r="J66" s="175">
        <f>'Société B'!H67</f>
        <v>0</v>
      </c>
      <c r="K66" s="173">
        <f>+'Société A'!F66</f>
        <v>937.5</v>
      </c>
      <c r="L66" s="174">
        <f>+'Société A'!G66</f>
        <v>1130.98</v>
      </c>
      <c r="M66" s="175">
        <f>+'Société A'!H66</f>
        <v>0</v>
      </c>
      <c r="N66" s="177">
        <f t="shared" si="60"/>
        <v>3392.86</v>
      </c>
      <c r="O66" s="175">
        <f t="shared" si="61"/>
        <v>0</v>
      </c>
      <c r="P66" s="177">
        <v>0</v>
      </c>
      <c r="Q66" s="179">
        <v>0</v>
      </c>
      <c r="R66" s="184">
        <f t="shared" si="62"/>
        <v>0</v>
      </c>
      <c r="S66" s="186">
        <f t="shared" si="63"/>
        <v>-3392.86</v>
      </c>
      <c r="T66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</row>
    <row r="67" spans="1:137" s="75" customFormat="1" ht="17.25" customHeight="1" x14ac:dyDescent="0.2">
      <c r="A67" s="52"/>
      <c r="B67" s="173"/>
      <c r="C67" s="174"/>
      <c r="D67" s="175"/>
      <c r="E67" s="174"/>
      <c r="F67" s="174"/>
      <c r="G67" s="174"/>
      <c r="H67" s="173"/>
      <c r="I67" s="174"/>
      <c r="J67" s="175"/>
      <c r="K67" s="173"/>
      <c r="L67" s="174"/>
      <c r="M67" s="175"/>
      <c r="N67" s="177"/>
      <c r="O67" s="175"/>
      <c r="P67" s="177"/>
      <c r="Q67" s="179"/>
      <c r="R67" s="184"/>
      <c r="S67" s="186"/>
      <c r="T67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</row>
    <row r="68" spans="1:137" s="151" customFormat="1" ht="18.75" customHeight="1" thickBot="1" x14ac:dyDescent="0.25">
      <c r="A68" s="26"/>
      <c r="B68" s="170">
        <f t="shared" ref="B68:P68" si="64">SUM(B4:B67)</f>
        <v>32850</v>
      </c>
      <c r="C68" s="171">
        <f t="shared" si="64"/>
        <v>853553.50000000023</v>
      </c>
      <c r="D68" s="172">
        <f t="shared" si="64"/>
        <v>2631.18</v>
      </c>
      <c r="E68" s="170">
        <f t="shared" si="64"/>
        <v>4462.5</v>
      </c>
      <c r="F68" s="171">
        <f t="shared" si="64"/>
        <v>98587.23000000001</v>
      </c>
      <c r="G68" s="172">
        <f t="shared" si="64"/>
        <v>364</v>
      </c>
      <c r="H68" s="170">
        <f t="shared" si="64"/>
        <v>146687.5</v>
      </c>
      <c r="I68" s="171">
        <f t="shared" si="64"/>
        <v>595356.22999999963</v>
      </c>
      <c r="J68" s="172">
        <f t="shared" si="64"/>
        <v>20480.559999999998</v>
      </c>
      <c r="K68" s="170">
        <f t="shared" si="64"/>
        <v>894837.5</v>
      </c>
      <c r="L68" s="171">
        <f t="shared" si="64"/>
        <v>1345461.25</v>
      </c>
      <c r="M68" s="172">
        <f t="shared" si="64"/>
        <v>45519.14</v>
      </c>
      <c r="N68" s="170">
        <f t="shared" si="64"/>
        <v>3971795.71</v>
      </c>
      <c r="O68" s="172">
        <f t="shared" si="64"/>
        <v>68994.880000000005</v>
      </c>
      <c r="P68" s="188">
        <f t="shared" si="64"/>
        <v>6249636.2300000004</v>
      </c>
      <c r="Q68" s="188">
        <f>SUM(Q4:Q67)</f>
        <v>450633.01</v>
      </c>
      <c r="R68" s="185">
        <f>(P68-O68-Q68)/(N68/1.9)</f>
        <v>2.7410815260687214</v>
      </c>
      <c r="S68" s="187">
        <f>SUM(S4:S67)</f>
        <v>1758212.6300000004</v>
      </c>
    </row>
    <row r="69" spans="1:137" s="27" customFormat="1" ht="18.75" customHeight="1" x14ac:dyDescent="0.2">
      <c r="A69" s="53"/>
      <c r="B69" s="154">
        <f>+B68/(B68+E68+H68+K68)</f>
        <v>3.0449442107824395E-2</v>
      </c>
      <c r="C69" s="30">
        <f>+C68/(C68+F68+I68+L68)</f>
        <v>0.29504522293116714</v>
      </c>
      <c r="D69" s="30">
        <f>+D68/O68</f>
        <v>3.8135873270596303E-2</v>
      </c>
      <c r="E69" s="154">
        <f>+E68/(E68+H68+K68+B68)</f>
        <v>4.1363968160172404E-3</v>
      </c>
      <c r="F69" s="30">
        <f>F68/(F68+C68+I68+L68)</f>
        <v>3.4078345708284538E-2</v>
      </c>
      <c r="G69" s="30">
        <f>+G68/O68</f>
        <v>5.2757537950642135E-3</v>
      </c>
      <c r="H69" s="154">
        <f>+H68/(H68+K68+E68+B68)</f>
        <v>0.13596811382622498</v>
      </c>
      <c r="I69" s="30">
        <f>+I68/(I68+L68+F68+C68)</f>
        <v>0.20579496376478928</v>
      </c>
      <c r="J69" s="30">
        <f>+J68/O68</f>
        <v>0.29684173666219865</v>
      </c>
      <c r="K69" s="154">
        <f>+K68/(K68+B68+H68+E68)</f>
        <v>0.82944604724993343</v>
      </c>
      <c r="L69" s="30">
        <f>+L68/(L68++I68+F68+C68)</f>
        <v>0.46508146759575902</v>
      </c>
      <c r="M69" s="30">
        <f>+M68/O68</f>
        <v>0.6597466362721407</v>
      </c>
      <c r="N69" s="116"/>
      <c r="O69" s="154">
        <f>+D69+G69+M69+J69</f>
        <v>0.99999999999999978</v>
      </c>
      <c r="P69" s="147"/>
      <c r="Q69" s="147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</row>
    <row r="70" spans="1:137" s="27" customFormat="1" ht="25.5" customHeight="1" thickBot="1" x14ac:dyDescent="0.25">
      <c r="A70" s="53"/>
      <c r="B70" s="38" t="s">
        <v>17</v>
      </c>
      <c r="C70" s="38" t="s">
        <v>15</v>
      </c>
      <c r="D70" s="38" t="s">
        <v>16</v>
      </c>
      <c r="E70" s="38" t="s">
        <v>17</v>
      </c>
      <c r="F70" s="38" t="s">
        <v>15</v>
      </c>
      <c r="G70" s="38" t="s">
        <v>16</v>
      </c>
      <c r="H70" s="38" t="s">
        <v>17</v>
      </c>
      <c r="I70" s="38" t="s">
        <v>15</v>
      </c>
      <c r="J70" s="38" t="s">
        <v>16</v>
      </c>
      <c r="K70" s="38" t="s">
        <v>17</v>
      </c>
      <c r="L70" s="38" t="s">
        <v>15</v>
      </c>
      <c r="M70" s="38" t="s">
        <v>16</v>
      </c>
      <c r="N70" s="31"/>
      <c r="O70" s="30"/>
      <c r="P70" s="54"/>
      <c r="Q70" s="54"/>
      <c r="T70" s="1"/>
      <c r="U70" s="1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</row>
    <row r="71" spans="1:137" ht="24.75" customHeight="1" thickBot="1" x14ac:dyDescent="0.25">
      <c r="B71" s="77" t="s">
        <v>199</v>
      </c>
      <c r="C71" s="78">
        <f>+C68+B68+D68</f>
        <v>889034.68000000028</v>
      </c>
      <c r="D71" s="79">
        <f>+D68</f>
        <v>2631.18</v>
      </c>
      <c r="E71" s="77" t="s">
        <v>199</v>
      </c>
      <c r="F71" s="78">
        <f>+F68+E68+G68</f>
        <v>103413.73000000001</v>
      </c>
      <c r="G71" s="79">
        <f>+G68</f>
        <v>364</v>
      </c>
      <c r="H71" s="77" t="s">
        <v>199</v>
      </c>
      <c r="I71" s="78">
        <f>+I68+H68+J68</f>
        <v>762524.28999999957</v>
      </c>
      <c r="J71" s="79">
        <f>+J68</f>
        <v>20480.559999999998</v>
      </c>
      <c r="K71" s="77" t="s">
        <v>199</v>
      </c>
      <c r="L71" s="78">
        <f>+L68+K68+M68</f>
        <v>2285817.89</v>
      </c>
      <c r="M71" s="153">
        <f>+M68</f>
        <v>45519.14</v>
      </c>
      <c r="N71" s="16"/>
      <c r="P71" s="41"/>
      <c r="Q71" s="41"/>
    </row>
    <row r="72" spans="1:137" x14ac:dyDescent="0.2">
      <c r="E72" s="76"/>
      <c r="F72" s="76"/>
      <c r="N72" s="21"/>
      <c r="O72" s="12"/>
      <c r="P72" s="114"/>
      <c r="Q72" s="114"/>
    </row>
    <row r="73" spans="1:137" x14ac:dyDescent="0.2">
      <c r="N73" s="22"/>
    </row>
    <row r="74" spans="1:137" x14ac:dyDescent="0.2">
      <c r="N74" s="15"/>
      <c r="O74" s="1"/>
    </row>
    <row r="75" spans="1:137" ht="13.5" thickBot="1" x14ac:dyDescent="0.25">
      <c r="A75" s="17"/>
      <c r="G75" s="12"/>
      <c r="N75" s="15"/>
      <c r="O75" s="9"/>
    </row>
    <row r="76" spans="1:137" ht="13.5" thickBot="1" x14ac:dyDescent="0.25">
      <c r="A76" s="57" t="s">
        <v>18</v>
      </c>
      <c r="B76" s="58" t="s">
        <v>200</v>
      </c>
      <c r="C76" s="58" t="s">
        <v>19</v>
      </c>
      <c r="D76" s="58" t="s">
        <v>10</v>
      </c>
      <c r="E76" s="190" t="s">
        <v>20</v>
      </c>
      <c r="F76" s="194" t="s">
        <v>21</v>
      </c>
      <c r="G76" s="59" t="s">
        <v>255</v>
      </c>
      <c r="H76" s="58" t="s">
        <v>200</v>
      </c>
      <c r="I76" s="58" t="s">
        <v>19</v>
      </c>
      <c r="J76" s="58" t="s">
        <v>10</v>
      </c>
      <c r="K76" s="190" t="s">
        <v>20</v>
      </c>
      <c r="L76" s="194" t="s">
        <v>256</v>
      </c>
      <c r="M76" s="43"/>
      <c r="T76" s="152"/>
    </row>
    <row r="77" spans="1:137" ht="14.25" customHeight="1" x14ac:dyDescent="0.2">
      <c r="A77" s="106"/>
      <c r="E77" s="191"/>
      <c r="F77" s="166"/>
      <c r="K77" s="90"/>
      <c r="L77" s="166"/>
      <c r="M77" s="82"/>
    </row>
    <row r="78" spans="1:137" x14ac:dyDescent="0.2">
      <c r="A78" s="107" t="s">
        <v>504</v>
      </c>
      <c r="B78" s="32">
        <f>+'Société C-1'!D70</f>
        <v>263</v>
      </c>
      <c r="C78" s="32">
        <f>+'Société C-1'!E70</f>
        <v>12693.4</v>
      </c>
      <c r="D78" s="32">
        <f>SUM(B78:C78)</f>
        <v>12956.4</v>
      </c>
      <c r="E78" s="192">
        <f>D78/$D$82</f>
        <v>0.22590012475034674</v>
      </c>
      <c r="F78" s="195">
        <f>'Société C-1'!O70</f>
        <v>295500</v>
      </c>
      <c r="G78" s="107" t="s">
        <v>504</v>
      </c>
      <c r="H78" s="32">
        <f>'Société C-1'!F70</f>
        <v>32850</v>
      </c>
      <c r="I78" s="32">
        <f>'Société C-1'!G70</f>
        <v>853553.50000000023</v>
      </c>
      <c r="J78" s="32">
        <f>+I78+H78</f>
        <v>886403.50000000023</v>
      </c>
      <c r="K78" s="197">
        <f>J78/$J$82</f>
        <v>0.22317449454116065</v>
      </c>
      <c r="L78" s="198">
        <f>(E78+K78)/2</f>
        <v>0.22453730964575369</v>
      </c>
      <c r="M78" s="82"/>
    </row>
    <row r="79" spans="1:137" x14ac:dyDescent="0.2">
      <c r="A79" s="107" t="s">
        <v>504</v>
      </c>
      <c r="B79" s="32">
        <f>+'Société C-2'!D36</f>
        <v>35</v>
      </c>
      <c r="C79" s="32">
        <f>+'Société C-2'!E36</f>
        <v>1565</v>
      </c>
      <c r="D79" s="32">
        <f t="shared" ref="D79:D81" si="65">SUM(B79:C79)</f>
        <v>1600</v>
      </c>
      <c r="E79" s="192">
        <f>D79/$D$82</f>
        <v>2.7896653360544192E-2</v>
      </c>
      <c r="F79" s="195">
        <f>+'Société C-2'!O36</f>
        <v>142000</v>
      </c>
      <c r="G79" s="107" t="s">
        <v>504</v>
      </c>
      <c r="H79" s="32">
        <f>'Société C-2'!F36</f>
        <v>4462.5</v>
      </c>
      <c r="I79" s="32">
        <f>'Société C-2'!G36</f>
        <v>98587.23000000001</v>
      </c>
      <c r="J79" s="32">
        <f>+I79+H79</f>
        <v>103049.73000000001</v>
      </c>
      <c r="K79" s="197">
        <f t="shared" ref="K79:K81" si="66">J79/$J$82</f>
        <v>2.5945375221728111E-2</v>
      </c>
      <c r="L79" s="198">
        <f t="shared" ref="L79:L81" si="67">(E79+K79)/2</f>
        <v>2.692101429113615E-2</v>
      </c>
      <c r="M79" s="82"/>
    </row>
    <row r="80" spans="1:137" x14ac:dyDescent="0.2">
      <c r="A80" s="107" t="s">
        <v>506</v>
      </c>
      <c r="B80" s="32">
        <f>'Société B'!D69</f>
        <v>1173.5</v>
      </c>
      <c r="C80" s="32">
        <f>'Société B'!E69</f>
        <v>10972.5</v>
      </c>
      <c r="D80" s="32">
        <f t="shared" si="65"/>
        <v>12146</v>
      </c>
      <c r="E80" s="192">
        <f>D80/$D$82</f>
        <v>0.21177046982323111</v>
      </c>
      <c r="F80" s="195">
        <f>'Société B'!O69</f>
        <v>437500</v>
      </c>
      <c r="G80" s="107" t="s">
        <v>506</v>
      </c>
      <c r="H80" s="32">
        <f>'Société B'!F69</f>
        <v>146687.5</v>
      </c>
      <c r="I80" s="32">
        <f>'Société B'!G69</f>
        <v>595356.22999999963</v>
      </c>
      <c r="J80" s="32">
        <f t="shared" ref="J80:J81" si="68">+I80+H80</f>
        <v>742043.72999999963</v>
      </c>
      <c r="K80" s="197">
        <f t="shared" si="66"/>
        <v>0.18682827219227738</v>
      </c>
      <c r="L80" s="198">
        <f t="shared" si="67"/>
        <v>0.19929937100775424</v>
      </c>
      <c r="M80" s="82"/>
    </row>
    <row r="81" spans="1:15" x14ac:dyDescent="0.2">
      <c r="A81" s="107" t="s">
        <v>507</v>
      </c>
      <c r="B81" s="32">
        <f>'Société A'!D68</f>
        <v>7116.75</v>
      </c>
      <c r="C81" s="32">
        <f>'Société A'!E68</f>
        <v>23535.4</v>
      </c>
      <c r="D81" s="32">
        <f t="shared" si="65"/>
        <v>30652.15</v>
      </c>
      <c r="E81" s="192">
        <f>D81/$D$82</f>
        <v>0.53443275206587793</v>
      </c>
      <c r="F81" s="195">
        <f>'Société A'!O68</f>
        <v>875000</v>
      </c>
      <c r="G81" s="107" t="s">
        <v>507</v>
      </c>
      <c r="H81" s="32">
        <f>'Société A'!F68</f>
        <v>894837.5</v>
      </c>
      <c r="I81" s="32">
        <f>'Société A'!G68</f>
        <v>1345461.25</v>
      </c>
      <c r="J81" s="32">
        <f t="shared" si="68"/>
        <v>2240298.75</v>
      </c>
      <c r="K81" s="197">
        <f t="shared" si="66"/>
        <v>0.56405185804483382</v>
      </c>
      <c r="L81" s="198">
        <f t="shared" si="67"/>
        <v>0.54924230505535587</v>
      </c>
    </row>
    <row r="82" spans="1:15" ht="13.5" thickBot="1" x14ac:dyDescent="0.25">
      <c r="A82" s="108"/>
      <c r="B82" s="37">
        <f>SUM(B78:B81)</f>
        <v>8588.25</v>
      </c>
      <c r="C82" s="37">
        <f>SUM(C78:C81)</f>
        <v>48766.3</v>
      </c>
      <c r="D82" s="37">
        <f>SUM(D78:D81)</f>
        <v>57354.55</v>
      </c>
      <c r="E82" s="193">
        <f>SUM(E78:E81)</f>
        <v>1</v>
      </c>
      <c r="F82" s="196">
        <f>SUM(F78:F81)</f>
        <v>1750000</v>
      </c>
      <c r="H82" s="37">
        <f>SUM(H78:H79)</f>
        <v>37312.5</v>
      </c>
      <c r="I82" s="37">
        <f>SUM(I78:I79)</f>
        <v>952140.73000000021</v>
      </c>
      <c r="J82" s="37">
        <f>SUM(J78:J81)</f>
        <v>3971795.71</v>
      </c>
      <c r="K82" s="193">
        <f>SUM(K78:K81)</f>
        <v>1</v>
      </c>
      <c r="L82" s="199">
        <f>SUM(L78:L81)</f>
        <v>1</v>
      </c>
    </row>
    <row r="83" spans="1:15" ht="13.5" thickTop="1" x14ac:dyDescent="0.2">
      <c r="B83" s="32"/>
      <c r="C83" s="32"/>
      <c r="H83" s="32"/>
      <c r="I83" s="32"/>
    </row>
    <row r="84" spans="1:15" x14ac:dyDescent="0.2">
      <c r="A84"/>
      <c r="B84"/>
      <c r="C84"/>
      <c r="D84"/>
      <c r="E84"/>
      <c r="F84"/>
      <c r="H84"/>
      <c r="I84"/>
      <c r="J84"/>
      <c r="K84"/>
      <c r="L84"/>
      <c r="M84"/>
    </row>
    <row r="85" spans="1:15" x14ac:dyDescent="0.2">
      <c r="A85" s="93"/>
      <c r="B85" s="93" t="s">
        <v>38</v>
      </c>
      <c r="C85" s="93" t="s">
        <v>39</v>
      </c>
      <c r="D85" s="93" t="s">
        <v>40</v>
      </c>
      <c r="E85" s="93" t="s">
        <v>41</v>
      </c>
      <c r="F85" s="93" t="s">
        <v>166</v>
      </c>
      <c r="G85" s="93" t="s">
        <v>42</v>
      </c>
      <c r="H85" s="93" t="s">
        <v>108</v>
      </c>
      <c r="I85"/>
      <c r="J85"/>
      <c r="K85"/>
      <c r="L85"/>
      <c r="M85" s="1"/>
      <c r="N85" s="1"/>
      <c r="O85" s="1"/>
    </row>
    <row r="86" spans="1:15" x14ac:dyDescent="0.2">
      <c r="A86" s="4"/>
      <c r="C86" s="19"/>
      <c r="E86" s="1"/>
      <c r="F86" s="1"/>
      <c r="G86" s="1"/>
      <c r="H86" s="1"/>
      <c r="I86" s="72"/>
      <c r="J86" s="72"/>
      <c r="K86" s="72"/>
      <c r="L86" s="72"/>
      <c r="M86" s="1"/>
      <c r="N86" s="1"/>
      <c r="O86" s="1"/>
    </row>
    <row r="87" spans="1:15" x14ac:dyDescent="0.2">
      <c r="A87" s="107" t="s">
        <v>504</v>
      </c>
      <c r="B87" s="109">
        <f>J78/1.9</f>
        <v>466528.15789473697</v>
      </c>
      <c r="C87" s="110">
        <f>D68</f>
        <v>2631.18</v>
      </c>
      <c r="D87" s="4">
        <f>SUM(B87:C87)</f>
        <v>469159.33789473696</v>
      </c>
      <c r="E87" s="1"/>
      <c r="F87" s="1"/>
      <c r="G87" s="41">
        <f>+(C71+F78-C87)/B87</f>
        <v>2.5334022823691464</v>
      </c>
      <c r="H87" s="82">
        <v>0.125</v>
      </c>
      <c r="I87" s="72"/>
      <c r="J87" s="73"/>
      <c r="K87" s="73"/>
      <c r="L87" s="73"/>
      <c r="M87" s="1"/>
      <c r="N87" s="1"/>
      <c r="O87" s="1"/>
    </row>
    <row r="88" spans="1:15" x14ac:dyDescent="0.2">
      <c r="A88" s="107" t="s">
        <v>504</v>
      </c>
      <c r="B88" s="109">
        <f>J79/1.9</f>
        <v>54236.700000000012</v>
      </c>
      <c r="C88" s="110">
        <f>G68</f>
        <v>364</v>
      </c>
      <c r="D88" s="4">
        <f t="shared" ref="D88:D90" si="69">SUM(B88:C88)</f>
        <v>54600.700000000012</v>
      </c>
      <c r="E88" s="1"/>
      <c r="F88" s="1"/>
      <c r="G88" s="41">
        <f>+(F71+F79-C88)/B88</f>
        <v>4.5181533906008289</v>
      </c>
      <c r="H88" s="82">
        <v>0.125</v>
      </c>
      <c r="I88" s="72"/>
      <c r="J88" s="73"/>
      <c r="K88" s="73"/>
      <c r="L88" s="73"/>
      <c r="M88" s="1"/>
      <c r="N88" s="1"/>
      <c r="O88" s="1"/>
    </row>
    <row r="89" spans="1:15" x14ac:dyDescent="0.2">
      <c r="A89" s="107" t="s">
        <v>506</v>
      </c>
      <c r="B89" s="109">
        <f>J80/1.9</f>
        <v>390549.3315789472</v>
      </c>
      <c r="C89" s="110">
        <f>J68</f>
        <v>20480.559999999998</v>
      </c>
      <c r="D89" s="4">
        <f t="shared" si="69"/>
        <v>411029.89157894719</v>
      </c>
      <c r="E89" s="1"/>
      <c r="F89" s="1"/>
      <c r="G89" s="41">
        <f>+(I71+F80-C89)/B89</f>
        <v>3.020216998531879</v>
      </c>
      <c r="H89" s="82">
        <v>0.25</v>
      </c>
      <c r="I89" s="72"/>
      <c r="J89" s="72"/>
      <c r="K89" s="72"/>
      <c r="L89" s="72"/>
      <c r="M89" s="1"/>
      <c r="N89" s="1"/>
      <c r="O89" s="1"/>
    </row>
    <row r="90" spans="1:15" x14ac:dyDescent="0.2">
      <c r="A90" s="107" t="s">
        <v>507</v>
      </c>
      <c r="B90" s="109">
        <f>J81/1.9</f>
        <v>1179104.605263158</v>
      </c>
      <c r="C90" s="110">
        <f>M68</f>
        <v>45519.14</v>
      </c>
      <c r="D90" s="4">
        <f t="shared" si="69"/>
        <v>1224623.7452631579</v>
      </c>
      <c r="E90" s="1"/>
      <c r="F90" s="1"/>
      <c r="G90" s="41">
        <f>+(L71+F81-C90)/B90</f>
        <v>2.6420885272555723</v>
      </c>
      <c r="H90" s="82">
        <v>0.5</v>
      </c>
      <c r="I90" s="72"/>
      <c r="J90" s="73"/>
      <c r="K90" s="73"/>
      <c r="L90" s="73"/>
      <c r="M90" s="1"/>
      <c r="N90" s="1"/>
      <c r="O90" s="1"/>
    </row>
    <row r="91" spans="1:15" ht="13.5" thickBot="1" x14ac:dyDescent="0.25">
      <c r="A91" s="88"/>
      <c r="B91" s="37">
        <f>SUM(B87:B90)</f>
        <v>2090418.7947368422</v>
      </c>
      <c r="C91" s="37">
        <f>SUM(C87:C90)</f>
        <v>68994.880000000005</v>
      </c>
      <c r="D91" s="115">
        <f>SUM(D87:D90)</f>
        <v>2159413.674736842</v>
      </c>
      <c r="E91" s="115">
        <f>P68</f>
        <v>6249636.2300000004</v>
      </c>
      <c r="F91" s="115">
        <f>+Q68</f>
        <v>450633.01</v>
      </c>
      <c r="G91" s="37">
        <f>(E91-C91-F91)/B91</f>
        <v>2.7410815260687214</v>
      </c>
      <c r="H91" s="189">
        <f>SUM(H87:H90)</f>
        <v>1</v>
      </c>
      <c r="I91" s="72"/>
      <c r="J91" s="73"/>
      <c r="K91" s="73"/>
      <c r="L91" s="73"/>
      <c r="M91" s="1"/>
      <c r="N91" s="1"/>
      <c r="O91" s="1"/>
    </row>
    <row r="92" spans="1:15" ht="13.5" thickTop="1" x14ac:dyDescent="0.2">
      <c r="A92" s="4"/>
      <c r="C92" s="19"/>
      <c r="E92" s="1"/>
      <c r="F92" s="1"/>
      <c r="G92" s="41"/>
      <c r="H92" s="1"/>
      <c r="I92" s="72"/>
      <c r="J92"/>
      <c r="K92"/>
      <c r="L92"/>
      <c r="M92" s="1"/>
      <c r="N92" s="1"/>
      <c r="O92" s="1"/>
    </row>
    <row r="93" spans="1:15" x14ac:dyDescent="0.2">
      <c r="A93" s="68"/>
      <c r="C93" s="72"/>
      <c r="D93"/>
      <c r="E93"/>
      <c r="F93" s="74"/>
      <c r="I93" s="72"/>
      <c r="J93"/>
      <c r="K93"/>
      <c r="L93"/>
      <c r="M93"/>
      <c r="O93" s="1"/>
    </row>
    <row r="94" spans="1:15" x14ac:dyDescent="0.2">
      <c r="A94" s="68"/>
      <c r="C94" s="72"/>
      <c r="D94"/>
      <c r="E94"/>
      <c r="F94" s="74"/>
      <c r="I94" s="72"/>
      <c r="J94"/>
      <c r="K94"/>
      <c r="L94"/>
      <c r="M94"/>
      <c r="O94" s="1"/>
    </row>
    <row r="95" spans="1:15" x14ac:dyDescent="0.2">
      <c r="A95" s="68"/>
      <c r="C95" s="72"/>
      <c r="D95"/>
      <c r="E95"/>
      <c r="F95" s="74"/>
      <c r="I95" s="72"/>
      <c r="J95"/>
      <c r="K95"/>
      <c r="L95"/>
      <c r="M95"/>
      <c r="O95" s="1"/>
    </row>
    <row r="96" spans="1:15" x14ac:dyDescent="0.2">
      <c r="A96" s="68"/>
      <c r="C96" s="72"/>
      <c r="D96"/>
      <c r="E96"/>
      <c r="F96" s="74"/>
      <c r="I96" s="72"/>
      <c r="J96"/>
      <c r="K96"/>
      <c r="L96"/>
      <c r="M96"/>
      <c r="O96" s="1"/>
    </row>
    <row r="97" spans="1:18" x14ac:dyDescent="0.2">
      <c r="A97" s="68"/>
      <c r="C97" s="72"/>
      <c r="D97"/>
      <c r="E97"/>
      <c r="F97" s="74"/>
      <c r="I97" s="72"/>
      <c r="J97"/>
      <c r="K97"/>
      <c r="L97"/>
      <c r="M97"/>
    </row>
    <row r="98" spans="1:18" x14ac:dyDescent="0.2">
      <c r="A98" s="68"/>
      <c r="B98"/>
      <c r="C98"/>
      <c r="D98"/>
      <c r="E98"/>
      <c r="F98" s="74"/>
      <c r="H98"/>
      <c r="I98"/>
      <c r="J98"/>
      <c r="K98"/>
      <c r="L98"/>
      <c r="M98"/>
    </row>
    <row r="99" spans="1:18" x14ac:dyDescent="0.2">
      <c r="A99" s="68"/>
      <c r="B99"/>
      <c r="C99"/>
      <c r="D99"/>
      <c r="E99"/>
      <c r="F99" s="74"/>
      <c r="H99"/>
      <c r="I99"/>
      <c r="J99"/>
      <c r="K99"/>
      <c r="L99"/>
      <c r="M99"/>
      <c r="N99"/>
      <c r="O99" s="19"/>
      <c r="P99" s="107"/>
      <c r="Q99" s="118"/>
      <c r="R99" s="118"/>
    </row>
    <row r="100" spans="1:18" x14ac:dyDescent="0.2">
      <c r="A100" s="68"/>
      <c r="B100"/>
      <c r="C100" s="72"/>
      <c r="D100"/>
      <c r="E100"/>
      <c r="F100" s="74"/>
      <c r="H100"/>
      <c r="I100" s="72"/>
      <c r="J100"/>
      <c r="K100"/>
      <c r="L100"/>
      <c r="M100"/>
      <c r="N100" s="72"/>
      <c r="O100" s="19"/>
      <c r="P100" s="119"/>
      <c r="Q100" s="117"/>
      <c r="R100" s="117"/>
    </row>
    <row r="101" spans="1:18" x14ac:dyDescent="0.2">
      <c r="A101" s="68"/>
      <c r="F101" s="74"/>
      <c r="N101" s="73"/>
      <c r="O101" s="19"/>
      <c r="P101" s="119"/>
      <c r="Q101" s="117"/>
      <c r="R101" s="117"/>
    </row>
    <row r="102" spans="1:18" x14ac:dyDescent="0.2">
      <c r="N102" s="73"/>
      <c r="O102" s="19"/>
      <c r="P102" s="119"/>
      <c r="Q102" s="117"/>
      <c r="R102" s="117"/>
    </row>
    <row r="103" spans="1:18" x14ac:dyDescent="0.2">
      <c r="N103" s="72"/>
      <c r="O103" s="19"/>
      <c r="P103" s="119"/>
      <c r="Q103" s="117"/>
      <c r="R103" s="117"/>
    </row>
    <row r="104" spans="1:18" x14ac:dyDescent="0.2">
      <c r="N104" s="72"/>
      <c r="O104" s="19"/>
    </row>
    <row r="105" spans="1:18" x14ac:dyDescent="0.2">
      <c r="N105" s="72"/>
      <c r="O105" s="19"/>
    </row>
    <row r="106" spans="1:18" x14ac:dyDescent="0.2">
      <c r="B106" s="71"/>
      <c r="H106" s="71"/>
      <c r="N106" s="72"/>
      <c r="O106" s="19"/>
    </row>
    <row r="107" spans="1:18" x14ac:dyDescent="0.2">
      <c r="B107" s="71"/>
      <c r="H107" s="71"/>
    </row>
    <row r="108" spans="1:18" x14ac:dyDescent="0.2">
      <c r="B108" s="71"/>
      <c r="H108" s="71"/>
    </row>
    <row r="109" spans="1:18" x14ac:dyDescent="0.2">
      <c r="B109" s="71"/>
      <c r="H109" s="71"/>
    </row>
    <row r="110" spans="1:18" x14ac:dyDescent="0.2">
      <c r="B110" s="71"/>
      <c r="H110" s="71"/>
    </row>
  </sheetData>
  <mergeCells count="5">
    <mergeCell ref="N2:O2"/>
    <mergeCell ref="E2:G2"/>
    <mergeCell ref="B2:D2"/>
    <mergeCell ref="H2:J2"/>
    <mergeCell ref="K2:M2"/>
  </mergeCells>
  <phoneticPr fontId="0" type="noConversion"/>
  <pageMargins left="0.62992125984251968" right="0.23622047244094488" top="0.74803149606299213" bottom="0.74803149606299213" header="0.31496062992125984" footer="0.31496062992125984"/>
  <pageSetup paperSize="17" scale="5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3"/>
  <sheetViews>
    <sheetView zoomScale="90" zoomScaleNormal="90" workbookViewId="0">
      <selection activeCell="L50" sqref="L50"/>
    </sheetView>
  </sheetViews>
  <sheetFormatPr baseColWidth="10" defaultColWidth="11.42578125" defaultRowHeight="12.75" x14ac:dyDescent="0.2"/>
  <cols>
    <col min="1" max="1" width="14" style="25" customWidth="1"/>
    <col min="2" max="2" width="29.5703125" style="2" bestFit="1" customWidth="1"/>
    <col min="3" max="3" width="18.28515625" style="3" customWidth="1"/>
    <col min="4" max="4" width="4.28515625" style="4" hidden="1" customWidth="1"/>
    <col min="5" max="5" width="15.5703125" style="1" bestFit="1" customWidth="1"/>
    <col min="6" max="7" width="16.42578125" style="1" customWidth="1"/>
    <col min="8" max="8" width="17.85546875" style="1" customWidth="1"/>
    <col min="9" max="9" width="15.7109375" style="4" bestFit="1" customWidth="1"/>
    <col min="10" max="11" width="14.140625" style="4" bestFit="1" customWidth="1"/>
    <col min="12" max="12" width="15.7109375" style="4" bestFit="1" customWidth="1"/>
    <col min="13" max="13" width="16" style="117" bestFit="1" customWidth="1"/>
    <col min="14" max="14" width="15.5703125" style="1" customWidth="1"/>
    <col min="15" max="15" width="11.42578125" style="1"/>
    <col min="16" max="16" width="12.7109375" style="1" bestFit="1" customWidth="1"/>
    <col min="17" max="16384" width="11.42578125" style="1"/>
  </cols>
  <sheetData>
    <row r="1" spans="1:14" ht="21.75" customHeight="1" x14ac:dyDescent="0.25">
      <c r="A1" s="202" t="s">
        <v>503</v>
      </c>
      <c r="C1" s="201"/>
    </row>
    <row r="2" spans="1:14" ht="26.25" customHeight="1" x14ac:dyDescent="0.25">
      <c r="A2" s="1"/>
      <c r="B2" s="1"/>
      <c r="C2" s="203"/>
      <c r="D2" s="11"/>
      <c r="E2" s="11"/>
      <c r="F2" s="11"/>
      <c r="G2" s="204"/>
      <c r="H2" s="11"/>
      <c r="I2" s="5"/>
      <c r="J2" s="5"/>
      <c r="K2" s="5"/>
      <c r="L2" s="5"/>
      <c r="M2" s="205"/>
    </row>
    <row r="3" spans="1:14" ht="37.5" customHeight="1" x14ac:dyDescent="0.2">
      <c r="A3" s="102" t="s">
        <v>0</v>
      </c>
      <c r="B3" s="103" t="s">
        <v>257</v>
      </c>
      <c r="C3" s="103" t="s">
        <v>158</v>
      </c>
      <c r="D3" s="103" t="s">
        <v>35</v>
      </c>
      <c r="E3" s="103" t="s">
        <v>508</v>
      </c>
      <c r="F3" s="103" t="s">
        <v>509</v>
      </c>
      <c r="G3" s="103" t="s">
        <v>510</v>
      </c>
      <c r="H3" s="103" t="s">
        <v>511</v>
      </c>
      <c r="I3" s="103" t="s">
        <v>24</v>
      </c>
      <c r="J3" s="103" t="s">
        <v>25</v>
      </c>
      <c r="K3" s="103" t="s">
        <v>26</v>
      </c>
      <c r="L3" s="103" t="s">
        <v>10</v>
      </c>
      <c r="M3" s="251" t="s">
        <v>93</v>
      </c>
      <c r="N3" s="249" t="s">
        <v>94</v>
      </c>
    </row>
    <row r="4" spans="1:14" ht="15" customHeight="1" x14ac:dyDescent="0.2">
      <c r="A4" s="104"/>
      <c r="B4" s="104"/>
      <c r="C4" s="104" t="s">
        <v>33</v>
      </c>
      <c r="D4" s="105"/>
      <c r="E4" s="105">
        <v>2510239.2000000002</v>
      </c>
      <c r="F4" s="105">
        <v>1309691.7</v>
      </c>
      <c r="G4" s="105">
        <v>1303576.3999999999</v>
      </c>
      <c r="H4" s="105">
        <v>1332362.8999999999</v>
      </c>
      <c r="I4" s="105">
        <f>SUM(D4:H4)</f>
        <v>6455870.2000000011</v>
      </c>
      <c r="J4" s="105">
        <f t="shared" ref="J4:J10" si="0">+I4*0.05</f>
        <v>322793.51000000007</v>
      </c>
      <c r="K4" s="105">
        <f t="shared" ref="K4:K10" si="1">+I4*0.09975</f>
        <v>643973.05245000019</v>
      </c>
      <c r="L4" s="105">
        <f t="shared" ref="L4:L10" si="2">+I4+J4+K4</f>
        <v>7422636.7624500012</v>
      </c>
      <c r="M4" s="252"/>
      <c r="N4" s="250"/>
    </row>
    <row r="5" spans="1:14" ht="11.25" x14ac:dyDescent="0.2">
      <c r="B5" s="68"/>
      <c r="C5" s="6"/>
      <c r="D5" s="7"/>
      <c r="E5" s="7"/>
      <c r="F5" s="7"/>
      <c r="G5" s="7"/>
      <c r="H5" s="7"/>
      <c r="I5" s="60">
        <f>SUM(D5:H5)</f>
        <v>0</v>
      </c>
      <c r="J5" s="12">
        <f t="shared" si="0"/>
        <v>0</v>
      </c>
      <c r="K5" s="12">
        <f t="shared" si="1"/>
        <v>0</v>
      </c>
      <c r="L5" s="62">
        <f t="shared" si="2"/>
        <v>0</v>
      </c>
      <c r="M5" s="206"/>
      <c r="N5" s="167"/>
    </row>
    <row r="6" spans="1:14" ht="17.25" customHeight="1" x14ac:dyDescent="0.2">
      <c r="A6" s="25" t="s">
        <v>57</v>
      </c>
      <c r="B6" s="68" t="s">
        <v>58</v>
      </c>
      <c r="C6" s="10" t="s">
        <v>59</v>
      </c>
      <c r="D6" s="11">
        <v>275812.61</v>
      </c>
      <c r="E6" s="7">
        <f>$D$6/4</f>
        <v>68953.152499999997</v>
      </c>
      <c r="F6" s="7">
        <f t="shared" ref="F6:H6" si="3">$D$6/4</f>
        <v>68953.152499999997</v>
      </c>
      <c r="G6" s="7">
        <f t="shared" si="3"/>
        <v>68953.152499999997</v>
      </c>
      <c r="H6" s="7">
        <f t="shared" si="3"/>
        <v>68953.152499999997</v>
      </c>
      <c r="I6" s="60">
        <f t="shared" ref="I6:I24" si="4">SUM(E6:H6)</f>
        <v>275812.61</v>
      </c>
      <c r="J6" s="12">
        <f t="shared" si="0"/>
        <v>13790.630499999999</v>
      </c>
      <c r="K6" s="12">
        <f t="shared" si="1"/>
        <v>27512.3078475</v>
      </c>
      <c r="L6" s="62">
        <f t="shared" si="2"/>
        <v>317115.54834749998</v>
      </c>
      <c r="M6" s="207">
        <v>317115.54834749998</v>
      </c>
      <c r="N6" s="209">
        <f>L6-M6</f>
        <v>0</v>
      </c>
    </row>
    <row r="7" spans="1:14" ht="17.25" customHeight="1" x14ac:dyDescent="0.2">
      <c r="A7" s="25" t="s">
        <v>62</v>
      </c>
      <c r="B7" s="68" t="s">
        <v>55</v>
      </c>
      <c r="C7" s="10" t="s">
        <v>63</v>
      </c>
      <c r="D7" s="11">
        <v>245169.32</v>
      </c>
      <c r="E7" s="7">
        <f>$D$7/4</f>
        <v>61292.33</v>
      </c>
      <c r="F7" s="7">
        <f t="shared" ref="F7:H7" si="5">$D$7/4</f>
        <v>61292.33</v>
      </c>
      <c r="G7" s="7">
        <f t="shared" si="5"/>
        <v>61292.33</v>
      </c>
      <c r="H7" s="7">
        <f t="shared" si="5"/>
        <v>61292.33</v>
      </c>
      <c r="I7" s="60">
        <f t="shared" si="4"/>
        <v>245169.32</v>
      </c>
      <c r="J7" s="12">
        <f t="shared" si="0"/>
        <v>12258.466</v>
      </c>
      <c r="K7" s="12">
        <f t="shared" si="1"/>
        <v>24455.63967</v>
      </c>
      <c r="L7" s="62">
        <f t="shared" si="2"/>
        <v>281883.42567000003</v>
      </c>
      <c r="M7" s="207">
        <v>281883.42567000003</v>
      </c>
      <c r="N7" s="209">
        <f t="shared" ref="N7:N49" si="6">L7-M7</f>
        <v>0</v>
      </c>
    </row>
    <row r="8" spans="1:14" ht="17.25" customHeight="1" x14ac:dyDescent="0.2">
      <c r="A8" s="25" t="s">
        <v>74</v>
      </c>
      <c r="B8" s="68" t="s">
        <v>67</v>
      </c>
      <c r="C8" s="10" t="s">
        <v>73</v>
      </c>
      <c r="D8" s="11">
        <v>261771.33</v>
      </c>
      <c r="E8" s="7">
        <f>$D$8/4</f>
        <v>65442.832499999997</v>
      </c>
      <c r="F8" s="7">
        <f t="shared" ref="F8:H8" si="7">$D$8/4</f>
        <v>65442.832499999997</v>
      </c>
      <c r="G8" s="7">
        <f t="shared" si="7"/>
        <v>65442.832499999997</v>
      </c>
      <c r="H8" s="7">
        <f t="shared" si="7"/>
        <v>65442.832499999997</v>
      </c>
      <c r="I8" s="60">
        <f t="shared" si="4"/>
        <v>261771.33</v>
      </c>
      <c r="J8" s="12">
        <f t="shared" si="0"/>
        <v>13088.566500000001</v>
      </c>
      <c r="K8" s="12">
        <f t="shared" si="1"/>
        <v>26111.690167500001</v>
      </c>
      <c r="L8" s="62">
        <f t="shared" si="2"/>
        <v>300971.58666749997</v>
      </c>
      <c r="M8" s="207">
        <v>300971.58666749997</v>
      </c>
      <c r="N8" s="209">
        <f>L8-M8</f>
        <v>0</v>
      </c>
    </row>
    <row r="9" spans="1:14" ht="16.5" customHeight="1" x14ac:dyDescent="0.2">
      <c r="A9" s="25" t="s">
        <v>92</v>
      </c>
      <c r="B9" s="68" t="s">
        <v>78</v>
      </c>
      <c r="C9" s="10" t="s">
        <v>81</v>
      </c>
      <c r="D9" s="11">
        <v>318143.25</v>
      </c>
      <c r="E9" s="7">
        <f>$D$9/4</f>
        <v>79535.8125</v>
      </c>
      <c r="F9" s="7">
        <f t="shared" ref="F9:H9" si="8">$D$9/4</f>
        <v>79535.8125</v>
      </c>
      <c r="G9" s="7">
        <f t="shared" si="8"/>
        <v>79535.8125</v>
      </c>
      <c r="H9" s="7">
        <f t="shared" si="8"/>
        <v>79535.8125</v>
      </c>
      <c r="I9" s="60">
        <f t="shared" si="4"/>
        <v>318143.25</v>
      </c>
      <c r="J9" s="12">
        <f t="shared" si="0"/>
        <v>15907.1625</v>
      </c>
      <c r="K9" s="12">
        <f t="shared" si="1"/>
        <v>31734.789187500002</v>
      </c>
      <c r="L9" s="62">
        <f t="shared" si="2"/>
        <v>365785.2016875</v>
      </c>
      <c r="M9" s="207">
        <v>365785.2016875</v>
      </c>
      <c r="N9" s="209">
        <f t="shared" si="6"/>
        <v>0</v>
      </c>
    </row>
    <row r="10" spans="1:14" ht="17.25" customHeight="1" x14ac:dyDescent="0.2">
      <c r="A10" s="25" t="s">
        <v>91</v>
      </c>
      <c r="B10" s="68" t="s">
        <v>90</v>
      </c>
      <c r="C10" s="10" t="s">
        <v>89</v>
      </c>
      <c r="D10" s="11">
        <v>254673.02</v>
      </c>
      <c r="E10" s="7">
        <f>$D$10/4</f>
        <v>63668.254999999997</v>
      </c>
      <c r="F10" s="7">
        <f t="shared" ref="F10:H10" si="9">$D$10/4</f>
        <v>63668.254999999997</v>
      </c>
      <c r="G10" s="7">
        <f t="shared" si="9"/>
        <v>63668.254999999997</v>
      </c>
      <c r="H10" s="7">
        <f t="shared" si="9"/>
        <v>63668.254999999997</v>
      </c>
      <c r="I10" s="60">
        <f t="shared" si="4"/>
        <v>254673.02</v>
      </c>
      <c r="J10" s="12">
        <f t="shared" si="0"/>
        <v>12733.651</v>
      </c>
      <c r="K10" s="12">
        <f t="shared" si="1"/>
        <v>25403.633744999999</v>
      </c>
      <c r="L10" s="62">
        <f t="shared" si="2"/>
        <v>292810.30474499997</v>
      </c>
      <c r="M10" s="207">
        <v>292810.30474499997</v>
      </c>
      <c r="N10" s="209">
        <f t="shared" si="6"/>
        <v>0</v>
      </c>
    </row>
    <row r="11" spans="1:14" ht="17.25" customHeight="1" x14ac:dyDescent="0.2">
      <c r="A11" s="25" t="s">
        <v>100</v>
      </c>
      <c r="B11" s="68" t="s">
        <v>95</v>
      </c>
      <c r="C11" s="10" t="s">
        <v>101</v>
      </c>
      <c r="D11" s="11">
        <v>961930</v>
      </c>
      <c r="E11" s="7">
        <f t="shared" ref="E11:H11" si="10">$D$11/4</f>
        <v>240482.5</v>
      </c>
      <c r="F11" s="7">
        <f t="shared" si="10"/>
        <v>240482.5</v>
      </c>
      <c r="G11" s="7">
        <f t="shared" si="10"/>
        <v>240482.5</v>
      </c>
      <c r="H11" s="7">
        <f t="shared" si="10"/>
        <v>240482.5</v>
      </c>
      <c r="I11" s="60">
        <f t="shared" si="4"/>
        <v>961930</v>
      </c>
      <c r="J11" s="12">
        <f t="shared" ref="J11:J50" si="11">+I11*0.05</f>
        <v>48096.5</v>
      </c>
      <c r="K11" s="12">
        <f t="shared" ref="K11:K50" si="12">+I11*0.09975</f>
        <v>95952.517500000002</v>
      </c>
      <c r="L11" s="62">
        <f t="shared" ref="L11:L50" si="13">+I11+J11+K11</f>
        <v>1105979.0175000001</v>
      </c>
      <c r="M11" s="207">
        <v>1105979.0175000001</v>
      </c>
      <c r="N11" s="209">
        <f t="shared" si="6"/>
        <v>0</v>
      </c>
    </row>
    <row r="12" spans="1:14" ht="17.25" hidden="1" customHeight="1" x14ac:dyDescent="0.2">
      <c r="B12" s="68"/>
      <c r="C12" s="10"/>
      <c r="D12" s="11"/>
      <c r="E12" s="11"/>
      <c r="F12" s="7"/>
      <c r="G12" s="11"/>
      <c r="H12" s="11"/>
      <c r="I12" s="60">
        <f t="shared" si="4"/>
        <v>0</v>
      </c>
      <c r="J12" s="12">
        <f t="shared" si="11"/>
        <v>0</v>
      </c>
      <c r="K12" s="12">
        <f t="shared" si="12"/>
        <v>0</v>
      </c>
      <c r="L12" s="62">
        <f t="shared" si="13"/>
        <v>0</v>
      </c>
      <c r="M12" s="207">
        <v>0</v>
      </c>
      <c r="N12" s="209">
        <f t="shared" si="6"/>
        <v>0</v>
      </c>
    </row>
    <row r="13" spans="1:14" ht="17.25" hidden="1" customHeight="1" x14ac:dyDescent="0.2">
      <c r="E13" s="11"/>
      <c r="F13" s="7"/>
      <c r="G13" s="11"/>
      <c r="H13" s="11"/>
      <c r="I13" s="60">
        <f t="shared" si="4"/>
        <v>0</v>
      </c>
      <c r="J13" s="12">
        <f t="shared" si="11"/>
        <v>0</v>
      </c>
      <c r="K13" s="12">
        <f t="shared" si="12"/>
        <v>0</v>
      </c>
      <c r="L13" s="62">
        <f t="shared" si="13"/>
        <v>0</v>
      </c>
      <c r="M13" s="207">
        <v>0</v>
      </c>
      <c r="N13" s="209">
        <f t="shared" si="6"/>
        <v>0</v>
      </c>
    </row>
    <row r="14" spans="1:14" ht="17.25" hidden="1" customHeight="1" x14ac:dyDescent="0.2">
      <c r="B14" s="68"/>
      <c r="C14" s="10"/>
      <c r="D14" s="11"/>
      <c r="E14" s="11"/>
      <c r="F14" s="7"/>
      <c r="G14" s="11"/>
      <c r="H14" s="11"/>
      <c r="I14" s="60">
        <f t="shared" si="4"/>
        <v>0</v>
      </c>
      <c r="J14" s="12">
        <f t="shared" si="11"/>
        <v>0</v>
      </c>
      <c r="K14" s="12">
        <f t="shared" si="12"/>
        <v>0</v>
      </c>
      <c r="L14" s="62">
        <f t="shared" si="13"/>
        <v>0</v>
      </c>
      <c r="M14" s="208">
        <v>0</v>
      </c>
      <c r="N14" s="209">
        <f t="shared" si="6"/>
        <v>0</v>
      </c>
    </row>
    <row r="15" spans="1:14" ht="17.25" hidden="1" customHeight="1" x14ac:dyDescent="0.2">
      <c r="B15" s="68"/>
      <c r="C15" s="10"/>
      <c r="D15" s="11"/>
      <c r="E15" s="11"/>
      <c r="F15" s="7"/>
      <c r="G15" s="11"/>
      <c r="H15" s="11"/>
      <c r="I15" s="60">
        <f t="shared" si="4"/>
        <v>0</v>
      </c>
      <c r="J15" s="12">
        <f t="shared" si="11"/>
        <v>0</v>
      </c>
      <c r="K15" s="12">
        <f t="shared" si="12"/>
        <v>0</v>
      </c>
      <c r="L15" s="62">
        <f>+I15+J15+K15</f>
        <v>0</v>
      </c>
      <c r="M15" s="208">
        <v>0</v>
      </c>
      <c r="N15" s="209">
        <f t="shared" si="6"/>
        <v>0</v>
      </c>
    </row>
    <row r="16" spans="1:14" ht="17.25" hidden="1" customHeight="1" x14ac:dyDescent="0.2">
      <c r="B16" s="68"/>
      <c r="C16" s="10"/>
      <c r="D16" s="11"/>
      <c r="E16" s="11"/>
      <c r="F16" s="7"/>
      <c r="G16" s="11"/>
      <c r="H16" s="11"/>
      <c r="I16" s="60">
        <f t="shared" si="4"/>
        <v>0</v>
      </c>
      <c r="J16" s="12">
        <f t="shared" si="11"/>
        <v>0</v>
      </c>
      <c r="K16" s="12">
        <f t="shared" si="12"/>
        <v>0</v>
      </c>
      <c r="L16" s="62">
        <f t="shared" si="13"/>
        <v>0</v>
      </c>
      <c r="M16" s="208">
        <v>0</v>
      </c>
      <c r="N16" s="209">
        <f t="shared" si="6"/>
        <v>0</v>
      </c>
    </row>
    <row r="17" spans="1:14" ht="15.75" hidden="1" customHeight="1" x14ac:dyDescent="0.2">
      <c r="B17" s="68"/>
      <c r="C17" s="10"/>
      <c r="D17" s="11"/>
      <c r="E17" s="11"/>
      <c r="F17" s="7"/>
      <c r="G17" s="11"/>
      <c r="H17" s="11"/>
      <c r="I17" s="60">
        <f t="shared" si="4"/>
        <v>0</v>
      </c>
      <c r="J17" s="12">
        <f t="shared" si="11"/>
        <v>0</v>
      </c>
      <c r="K17" s="12">
        <f t="shared" si="12"/>
        <v>0</v>
      </c>
      <c r="L17" s="62">
        <f>+I17+J17+K17</f>
        <v>0</v>
      </c>
      <c r="M17" s="207">
        <v>0</v>
      </c>
      <c r="N17" s="209">
        <f t="shared" si="6"/>
        <v>0</v>
      </c>
    </row>
    <row r="18" spans="1:14" ht="15.75" customHeight="1" x14ac:dyDescent="0.2">
      <c r="A18" s="25" t="s">
        <v>142</v>
      </c>
      <c r="B18" s="68" t="s">
        <v>136</v>
      </c>
      <c r="C18" s="10" t="s">
        <v>253</v>
      </c>
      <c r="D18" s="11">
        <v>1357024.24</v>
      </c>
      <c r="E18" s="11">
        <v>1012723.38</v>
      </c>
      <c r="F18" s="7">
        <v>128058.62</v>
      </c>
      <c r="G18" s="11">
        <v>106302.62</v>
      </c>
      <c r="H18" s="11">
        <v>109939.62</v>
      </c>
      <c r="I18" s="60">
        <f>SUM(E18:H18)</f>
        <v>1357024.2400000002</v>
      </c>
      <c r="J18" s="12">
        <f t="shared" si="11"/>
        <v>67851.212000000014</v>
      </c>
      <c r="K18" s="12">
        <f t="shared" si="12"/>
        <v>135363.16794000004</v>
      </c>
      <c r="L18" s="62">
        <f>+I18+J18+K18</f>
        <v>1560238.6199400004</v>
      </c>
      <c r="M18" s="207">
        <v>1560238.6199400004</v>
      </c>
      <c r="N18" s="209">
        <f t="shared" si="6"/>
        <v>0</v>
      </c>
    </row>
    <row r="19" spans="1:14" ht="15.75" hidden="1" customHeight="1" x14ac:dyDescent="0.2">
      <c r="B19" s="68"/>
      <c r="C19" s="10"/>
      <c r="D19" s="11"/>
      <c r="E19" s="11"/>
      <c r="F19" s="7"/>
      <c r="G19" s="11"/>
      <c r="H19" s="11"/>
      <c r="I19" s="60">
        <f t="shared" si="4"/>
        <v>0</v>
      </c>
      <c r="J19" s="12">
        <f t="shared" si="11"/>
        <v>0</v>
      </c>
      <c r="K19" s="12">
        <f t="shared" si="12"/>
        <v>0</v>
      </c>
      <c r="L19" s="62">
        <f t="shared" si="13"/>
        <v>0</v>
      </c>
      <c r="M19" s="207">
        <v>0</v>
      </c>
      <c r="N19" s="209">
        <f t="shared" si="6"/>
        <v>0</v>
      </c>
    </row>
    <row r="20" spans="1:14" ht="15.75" hidden="1" customHeight="1" x14ac:dyDescent="0.2">
      <c r="B20" s="68"/>
      <c r="C20" s="10"/>
      <c r="D20" s="11"/>
      <c r="E20" s="11"/>
      <c r="F20" s="7"/>
      <c r="G20" s="11"/>
      <c r="H20" s="11"/>
      <c r="I20" s="60">
        <f t="shared" si="4"/>
        <v>0</v>
      </c>
      <c r="J20" s="12">
        <f t="shared" si="11"/>
        <v>0</v>
      </c>
      <c r="K20" s="12">
        <f t="shared" si="12"/>
        <v>0</v>
      </c>
      <c r="L20" s="62">
        <f t="shared" si="13"/>
        <v>0</v>
      </c>
      <c r="M20" s="207">
        <v>0</v>
      </c>
      <c r="N20" s="209">
        <f t="shared" si="6"/>
        <v>0</v>
      </c>
    </row>
    <row r="21" spans="1:14" ht="15.75" hidden="1" customHeight="1" x14ac:dyDescent="0.2">
      <c r="B21" s="68"/>
      <c r="C21" s="10"/>
      <c r="D21" s="11"/>
      <c r="E21" s="11"/>
      <c r="F21" s="7"/>
      <c r="G21" s="11"/>
      <c r="H21" s="11"/>
      <c r="I21" s="60">
        <f t="shared" si="4"/>
        <v>0</v>
      </c>
      <c r="J21" s="12">
        <f t="shared" si="11"/>
        <v>0</v>
      </c>
      <c r="K21" s="12">
        <f t="shared" si="12"/>
        <v>0</v>
      </c>
      <c r="L21" s="62">
        <f t="shared" si="13"/>
        <v>0</v>
      </c>
      <c r="M21" s="207">
        <v>0</v>
      </c>
      <c r="N21" s="209">
        <f t="shared" si="6"/>
        <v>0</v>
      </c>
    </row>
    <row r="22" spans="1:14" ht="15.75" hidden="1" customHeight="1" x14ac:dyDescent="0.2">
      <c r="B22" s="68"/>
      <c r="C22" s="10"/>
      <c r="D22" s="11"/>
      <c r="E22" s="11"/>
      <c r="F22" s="7"/>
      <c r="G22" s="11"/>
      <c r="H22" s="11"/>
      <c r="I22" s="60">
        <f t="shared" si="4"/>
        <v>0</v>
      </c>
      <c r="J22" s="12">
        <f t="shared" si="11"/>
        <v>0</v>
      </c>
      <c r="K22" s="12">
        <f t="shared" si="12"/>
        <v>0</v>
      </c>
      <c r="L22" s="62">
        <f t="shared" si="13"/>
        <v>0</v>
      </c>
      <c r="M22" s="207">
        <v>0</v>
      </c>
      <c r="N22" s="209">
        <f t="shared" si="6"/>
        <v>0</v>
      </c>
    </row>
    <row r="23" spans="1:14" ht="15.75" hidden="1" customHeight="1" x14ac:dyDescent="0.2">
      <c r="B23" s="68"/>
      <c r="C23" s="10"/>
      <c r="D23" s="11"/>
      <c r="E23" s="11"/>
      <c r="F23" s="7"/>
      <c r="G23" s="11"/>
      <c r="H23" s="11"/>
      <c r="I23" s="60">
        <f t="shared" si="4"/>
        <v>0</v>
      </c>
      <c r="J23" s="12">
        <f t="shared" si="11"/>
        <v>0</v>
      </c>
      <c r="K23" s="12">
        <f t="shared" si="12"/>
        <v>0</v>
      </c>
      <c r="L23" s="62">
        <f t="shared" si="13"/>
        <v>0</v>
      </c>
      <c r="M23" s="207">
        <v>0</v>
      </c>
      <c r="N23" s="209">
        <f t="shared" si="6"/>
        <v>0</v>
      </c>
    </row>
    <row r="24" spans="1:14" ht="15.75" hidden="1" customHeight="1" x14ac:dyDescent="0.2">
      <c r="B24" s="68"/>
      <c r="C24" s="10"/>
      <c r="D24" s="11"/>
      <c r="E24" s="11"/>
      <c r="F24" s="7"/>
      <c r="G24" s="11"/>
      <c r="H24" s="11"/>
      <c r="I24" s="60">
        <f t="shared" si="4"/>
        <v>0</v>
      </c>
      <c r="J24" s="12">
        <f t="shared" si="11"/>
        <v>0</v>
      </c>
      <c r="K24" s="12">
        <f t="shared" si="12"/>
        <v>0</v>
      </c>
      <c r="L24" s="62">
        <f t="shared" si="13"/>
        <v>0</v>
      </c>
      <c r="M24" s="207">
        <v>0</v>
      </c>
      <c r="N24" s="209">
        <f t="shared" si="6"/>
        <v>0</v>
      </c>
    </row>
    <row r="25" spans="1:14" ht="15.75" customHeight="1" x14ac:dyDescent="0.2">
      <c r="A25" s="25" t="s">
        <v>224</v>
      </c>
      <c r="B25" s="68" t="s">
        <v>225</v>
      </c>
      <c r="C25" s="10" t="s">
        <v>254</v>
      </c>
      <c r="D25" s="11">
        <v>266654.75</v>
      </c>
      <c r="E25" s="11">
        <v>90608.25</v>
      </c>
      <c r="F25" s="7">
        <v>0</v>
      </c>
      <c r="G25" s="11">
        <v>0</v>
      </c>
      <c r="H25" s="11">
        <v>176046.5</v>
      </c>
      <c r="I25" s="60">
        <f>SUM(E25:H25)</f>
        <v>266654.75</v>
      </c>
      <c r="J25" s="12">
        <f t="shared" si="11"/>
        <v>13332.737500000001</v>
      </c>
      <c r="K25" s="12">
        <f t="shared" si="12"/>
        <v>26598.811312500002</v>
      </c>
      <c r="L25" s="62">
        <f>+I25+J25+K25</f>
        <v>306586.29881249997</v>
      </c>
      <c r="M25" s="207">
        <v>306586.29881249997</v>
      </c>
      <c r="N25" s="209">
        <f t="shared" si="6"/>
        <v>0</v>
      </c>
    </row>
    <row r="26" spans="1:14" ht="15.75" customHeight="1" x14ac:dyDescent="0.2">
      <c r="A26" s="25" t="s">
        <v>264</v>
      </c>
      <c r="B26" s="68" t="s">
        <v>265</v>
      </c>
      <c r="C26" s="10" t="s">
        <v>266</v>
      </c>
      <c r="D26" s="11"/>
      <c r="E26" s="11">
        <v>297922</v>
      </c>
      <c r="F26" s="7">
        <v>38169.74</v>
      </c>
      <c r="G26" s="11">
        <v>54335.78</v>
      </c>
      <c r="H26" s="11">
        <v>91002.66</v>
      </c>
      <c r="I26" s="60">
        <f t="shared" ref="I26:I49" si="14">SUM(D26:H26)</f>
        <v>481430.18000000005</v>
      </c>
      <c r="J26" s="12">
        <f t="shared" si="11"/>
        <v>24071.509000000005</v>
      </c>
      <c r="K26" s="12">
        <f t="shared" si="12"/>
        <v>48022.660455000005</v>
      </c>
      <c r="L26" s="62">
        <f t="shared" si="13"/>
        <v>553524.34945500013</v>
      </c>
      <c r="M26" s="207">
        <v>553524.34945500013</v>
      </c>
      <c r="N26" s="209">
        <f t="shared" si="6"/>
        <v>0</v>
      </c>
    </row>
    <row r="27" spans="1:14" ht="15.75" customHeight="1" x14ac:dyDescent="0.2">
      <c r="A27" s="25" t="s">
        <v>288</v>
      </c>
      <c r="B27" s="68" t="s">
        <v>289</v>
      </c>
      <c r="C27" s="10" t="s">
        <v>290</v>
      </c>
      <c r="D27" s="11"/>
      <c r="E27" s="11">
        <v>56206.77</v>
      </c>
      <c r="F27" s="7">
        <v>17862.62</v>
      </c>
      <c r="G27" s="11">
        <v>17732.14</v>
      </c>
      <c r="H27" s="11">
        <v>25045.38</v>
      </c>
      <c r="I27" s="60">
        <f t="shared" si="14"/>
        <v>116846.91</v>
      </c>
      <c r="J27" s="12">
        <f t="shared" si="11"/>
        <v>5842.3455000000004</v>
      </c>
      <c r="K27" s="12">
        <v>11655.48</v>
      </c>
      <c r="L27" s="62">
        <f t="shared" si="13"/>
        <v>134344.73550000001</v>
      </c>
      <c r="M27" s="207">
        <v>134344.73550000001</v>
      </c>
      <c r="N27" s="209">
        <f t="shared" si="6"/>
        <v>0</v>
      </c>
    </row>
    <row r="28" spans="1:14" ht="15.75" customHeight="1" x14ac:dyDescent="0.2">
      <c r="A28" s="25" t="s">
        <v>354</v>
      </c>
      <c r="B28" s="68" t="s">
        <v>346</v>
      </c>
      <c r="C28" s="10" t="s">
        <v>345</v>
      </c>
      <c r="D28" s="11"/>
      <c r="E28" s="11">
        <v>0</v>
      </c>
      <c r="F28" s="11">
        <v>93198.75</v>
      </c>
      <c r="G28" s="11">
        <v>145459.18</v>
      </c>
      <c r="H28" s="11">
        <v>56336.81</v>
      </c>
      <c r="I28" s="60">
        <f t="shared" si="14"/>
        <v>294994.74</v>
      </c>
      <c r="J28" s="12">
        <f t="shared" si="11"/>
        <v>14749.737000000001</v>
      </c>
      <c r="K28" s="12">
        <f>+I28*0.09975-0.001</f>
        <v>29425.724314999999</v>
      </c>
      <c r="L28" s="62">
        <f t="shared" si="13"/>
        <v>339170.20131500001</v>
      </c>
      <c r="M28" s="207">
        <v>339170.20131500001</v>
      </c>
      <c r="N28" s="209">
        <f t="shared" si="6"/>
        <v>0</v>
      </c>
    </row>
    <row r="29" spans="1:14" ht="15.75" customHeight="1" x14ac:dyDescent="0.2">
      <c r="A29" s="25" t="s">
        <v>355</v>
      </c>
      <c r="B29" s="68" t="s">
        <v>356</v>
      </c>
      <c r="C29" s="10" t="s">
        <v>357</v>
      </c>
      <c r="D29" s="11"/>
      <c r="E29" s="11">
        <v>1161.8800000000001</v>
      </c>
      <c r="F29" s="11">
        <v>71870.320000000007</v>
      </c>
      <c r="G29" s="11">
        <v>53014.9</v>
      </c>
      <c r="H29" s="11">
        <v>11778.29</v>
      </c>
      <c r="I29" s="60">
        <f t="shared" si="14"/>
        <v>137825.39000000001</v>
      </c>
      <c r="J29" s="12">
        <f t="shared" si="11"/>
        <v>6891.2695000000012</v>
      </c>
      <c r="K29" s="12">
        <f t="shared" si="12"/>
        <v>13748.082652500003</v>
      </c>
      <c r="L29" s="62">
        <f t="shared" si="13"/>
        <v>158464.74215250002</v>
      </c>
      <c r="M29" s="207">
        <v>158464.74215250002</v>
      </c>
      <c r="N29" s="209">
        <f t="shared" si="6"/>
        <v>0</v>
      </c>
    </row>
    <row r="30" spans="1:14" ht="15.75" customHeight="1" x14ac:dyDescent="0.2">
      <c r="A30" s="25" t="s">
        <v>377</v>
      </c>
      <c r="B30" s="68" t="s">
        <v>378</v>
      </c>
      <c r="C30" s="10" t="s">
        <v>379</v>
      </c>
      <c r="D30" s="11"/>
      <c r="E30" s="11">
        <v>23181.1</v>
      </c>
      <c r="F30" s="11">
        <v>96689.75</v>
      </c>
      <c r="G30" s="11">
        <v>56400.1</v>
      </c>
      <c r="H30" s="11">
        <v>21429</v>
      </c>
      <c r="I30" s="60">
        <f t="shared" si="14"/>
        <v>197699.95</v>
      </c>
      <c r="J30" s="12">
        <f t="shared" ref="J30" si="15">+I30*0.05</f>
        <v>9884.9975000000013</v>
      </c>
      <c r="K30" s="12">
        <f t="shared" ref="K30" si="16">+I30*0.09975</f>
        <v>19720.570012500004</v>
      </c>
      <c r="L30" s="62">
        <f t="shared" ref="L30" si="17">+I30+J30+K30</f>
        <v>227305.51751250002</v>
      </c>
      <c r="M30" s="207">
        <v>227305.51751250002</v>
      </c>
      <c r="N30" s="209">
        <f t="shared" si="6"/>
        <v>0</v>
      </c>
    </row>
    <row r="31" spans="1:14" ht="15.75" customHeight="1" x14ac:dyDescent="0.2">
      <c r="A31" s="211" t="s">
        <v>406</v>
      </c>
      <c r="B31" s="68" t="s">
        <v>400</v>
      </c>
      <c r="C31" s="10" t="s">
        <v>407</v>
      </c>
      <c r="D31" s="11"/>
      <c r="E31" s="11">
        <v>5000</v>
      </c>
      <c r="F31" s="11">
        <v>38029.699999999997</v>
      </c>
      <c r="G31" s="11">
        <v>57309.08</v>
      </c>
      <c r="H31" s="11">
        <v>14541.86</v>
      </c>
      <c r="I31" s="60">
        <f t="shared" si="14"/>
        <v>114880.64</v>
      </c>
      <c r="J31" s="12">
        <f t="shared" ref="J31:J35" si="18">+I31*0.05</f>
        <v>5744.0320000000002</v>
      </c>
      <c r="K31" s="12">
        <f t="shared" ref="K31:K35" si="19">+I31*0.09975</f>
        <v>11459.343840000001</v>
      </c>
      <c r="L31" s="62">
        <f>+I31+J31+K31</f>
        <v>132084.01584000001</v>
      </c>
      <c r="M31" s="207">
        <v>132084.01584000001</v>
      </c>
      <c r="N31" s="209">
        <f t="shared" si="6"/>
        <v>0</v>
      </c>
    </row>
    <row r="32" spans="1:14" ht="15.75" customHeight="1" x14ac:dyDescent="0.2">
      <c r="A32" s="211" t="s">
        <v>425</v>
      </c>
      <c r="B32" s="68" t="s">
        <v>420</v>
      </c>
      <c r="C32" s="10" t="s">
        <v>422</v>
      </c>
      <c r="D32" s="11"/>
      <c r="E32" s="11">
        <v>359061.43</v>
      </c>
      <c r="F32" s="11">
        <v>189313.38</v>
      </c>
      <c r="G32" s="11">
        <v>179339.32</v>
      </c>
      <c r="H32" s="11">
        <v>184777.53</v>
      </c>
      <c r="I32" s="60">
        <f t="shared" si="14"/>
        <v>912491.66000000015</v>
      </c>
      <c r="J32" s="12">
        <f t="shared" si="18"/>
        <v>45624.583000000013</v>
      </c>
      <c r="K32" s="12">
        <f t="shared" si="19"/>
        <v>91021.043085000027</v>
      </c>
      <c r="L32" s="62">
        <f>+I32+J32+K32</f>
        <v>1049137.2860850003</v>
      </c>
      <c r="M32" s="207">
        <v>1049137.2860850003</v>
      </c>
      <c r="N32" s="209">
        <f t="shared" si="6"/>
        <v>0</v>
      </c>
    </row>
    <row r="33" spans="1:14" ht="15.75" customHeight="1" x14ac:dyDescent="0.2">
      <c r="A33" s="211" t="s">
        <v>426</v>
      </c>
      <c r="B33" s="68" t="s">
        <v>424</v>
      </c>
      <c r="C33" s="10" t="s">
        <v>423</v>
      </c>
      <c r="D33" s="11"/>
      <c r="E33" s="11">
        <v>0</v>
      </c>
      <c r="F33" s="11">
        <v>2572.5</v>
      </c>
      <c r="G33" s="11">
        <v>756</v>
      </c>
      <c r="H33" s="11">
        <v>0</v>
      </c>
      <c r="I33" s="60">
        <f t="shared" si="14"/>
        <v>3328.5</v>
      </c>
      <c r="J33" s="12">
        <f t="shared" si="18"/>
        <v>166.42500000000001</v>
      </c>
      <c r="K33" s="12">
        <f t="shared" si="19"/>
        <v>332.017875</v>
      </c>
      <c r="L33" s="62">
        <f>+I33+J33+K33</f>
        <v>3826.9428750000002</v>
      </c>
      <c r="M33" s="207">
        <v>3826.9428750000002</v>
      </c>
      <c r="N33" s="209">
        <f t="shared" si="6"/>
        <v>0</v>
      </c>
    </row>
    <row r="34" spans="1:14" ht="15.75" customHeight="1" x14ac:dyDescent="0.2">
      <c r="A34" s="211" t="s">
        <v>444</v>
      </c>
      <c r="B34" s="68" t="s">
        <v>445</v>
      </c>
      <c r="C34" s="10" t="s">
        <v>446</v>
      </c>
      <c r="D34" s="11"/>
      <c r="E34" s="11">
        <v>5000</v>
      </c>
      <c r="F34" s="11">
        <f>6494-2500</f>
        <v>3994</v>
      </c>
      <c r="G34" s="11">
        <f>5181.44-2500</f>
        <v>2681.4399999999996</v>
      </c>
      <c r="H34" s="11">
        <v>7500</v>
      </c>
      <c r="I34" s="60">
        <f t="shared" si="14"/>
        <v>19175.439999999999</v>
      </c>
      <c r="J34" s="12">
        <f t="shared" si="18"/>
        <v>958.77199999999993</v>
      </c>
      <c r="K34" s="12">
        <f t="shared" si="19"/>
        <v>1912.7501399999999</v>
      </c>
      <c r="L34" s="62">
        <f>+I34+J34+K34</f>
        <v>22046.96214</v>
      </c>
      <c r="M34" s="207">
        <v>22046.96214</v>
      </c>
      <c r="N34" s="209">
        <f t="shared" si="6"/>
        <v>0</v>
      </c>
    </row>
    <row r="35" spans="1:14" ht="15.75" customHeight="1" x14ac:dyDescent="0.2">
      <c r="B35" s="68" t="s">
        <v>488</v>
      </c>
      <c r="C35" s="10" t="s">
        <v>489</v>
      </c>
      <c r="D35" s="11"/>
      <c r="E35" s="11">
        <v>0</v>
      </c>
      <c r="F35" s="11">
        <v>6529</v>
      </c>
      <c r="G35" s="11">
        <v>9105.2999999999993</v>
      </c>
      <c r="H35" s="11">
        <v>14150</v>
      </c>
      <c r="I35" s="60">
        <f t="shared" si="14"/>
        <v>29784.3</v>
      </c>
      <c r="J35" s="12">
        <f t="shared" si="18"/>
        <v>1489.2150000000001</v>
      </c>
      <c r="K35" s="12">
        <f t="shared" si="19"/>
        <v>2970.983925</v>
      </c>
      <c r="L35" s="62">
        <f>+I35+J35+K35</f>
        <v>34244.498925</v>
      </c>
      <c r="M35" s="207"/>
      <c r="N35" s="209">
        <f t="shared" si="6"/>
        <v>34244.498925</v>
      </c>
    </row>
    <row r="36" spans="1:14" ht="15.75" hidden="1" customHeight="1" x14ac:dyDescent="0.2">
      <c r="B36" s="68"/>
      <c r="C36" s="10"/>
      <c r="D36" s="11"/>
      <c r="E36" s="11"/>
      <c r="F36" s="11"/>
      <c r="G36" s="11"/>
      <c r="H36" s="11"/>
      <c r="I36" s="60">
        <f t="shared" si="14"/>
        <v>0</v>
      </c>
      <c r="J36" s="12">
        <f t="shared" ref="J36:J40" si="20">+I36*0.05</f>
        <v>0</v>
      </c>
      <c r="K36" s="12">
        <f t="shared" ref="K36:K40" si="21">+I36*0.09975</f>
        <v>0</v>
      </c>
      <c r="L36" s="62">
        <f t="shared" ref="L36:L40" si="22">+I36+J36+K36</f>
        <v>0</v>
      </c>
      <c r="M36" s="207">
        <f t="shared" ref="M36:M40" si="23">+I36/2</f>
        <v>0</v>
      </c>
      <c r="N36" s="209">
        <f t="shared" si="6"/>
        <v>0</v>
      </c>
    </row>
    <row r="37" spans="1:14" ht="15.75" hidden="1" customHeight="1" x14ac:dyDescent="0.2">
      <c r="B37" s="68"/>
      <c r="C37" s="10"/>
      <c r="D37" s="11"/>
      <c r="E37" s="11"/>
      <c r="F37" s="11"/>
      <c r="G37" s="11"/>
      <c r="H37" s="11"/>
      <c r="I37" s="60">
        <f t="shared" si="14"/>
        <v>0</v>
      </c>
      <c r="J37" s="12">
        <f t="shared" si="20"/>
        <v>0</v>
      </c>
      <c r="K37" s="12">
        <f t="shared" si="21"/>
        <v>0</v>
      </c>
      <c r="L37" s="62">
        <f t="shared" si="22"/>
        <v>0</v>
      </c>
      <c r="M37" s="207">
        <f t="shared" si="23"/>
        <v>0</v>
      </c>
      <c r="N37" s="209">
        <f t="shared" si="6"/>
        <v>0</v>
      </c>
    </row>
    <row r="38" spans="1:14" ht="15.75" hidden="1" customHeight="1" x14ac:dyDescent="0.2">
      <c r="B38" s="68"/>
      <c r="C38" s="10"/>
      <c r="D38" s="11"/>
      <c r="E38" s="11"/>
      <c r="F38" s="11"/>
      <c r="G38" s="11"/>
      <c r="H38" s="11"/>
      <c r="I38" s="60">
        <f t="shared" si="14"/>
        <v>0</v>
      </c>
      <c r="J38" s="12">
        <f t="shared" si="20"/>
        <v>0</v>
      </c>
      <c r="K38" s="12">
        <f t="shared" si="21"/>
        <v>0</v>
      </c>
      <c r="L38" s="62">
        <f t="shared" si="22"/>
        <v>0</v>
      </c>
      <c r="M38" s="207">
        <f t="shared" si="23"/>
        <v>0</v>
      </c>
      <c r="N38" s="209">
        <f t="shared" si="6"/>
        <v>0</v>
      </c>
    </row>
    <row r="39" spans="1:14" ht="15.75" hidden="1" customHeight="1" x14ac:dyDescent="0.2">
      <c r="B39" s="68"/>
      <c r="C39" s="10"/>
      <c r="D39" s="11"/>
      <c r="E39" s="11"/>
      <c r="F39" s="11"/>
      <c r="G39" s="11"/>
      <c r="H39" s="11"/>
      <c r="I39" s="60">
        <f t="shared" si="14"/>
        <v>0</v>
      </c>
      <c r="J39" s="12">
        <f t="shared" si="20"/>
        <v>0</v>
      </c>
      <c r="K39" s="12">
        <f t="shared" si="21"/>
        <v>0</v>
      </c>
      <c r="L39" s="62">
        <f t="shared" si="22"/>
        <v>0</v>
      </c>
      <c r="M39" s="207">
        <f t="shared" si="23"/>
        <v>0</v>
      </c>
      <c r="N39" s="209">
        <f t="shared" si="6"/>
        <v>0</v>
      </c>
    </row>
    <row r="40" spans="1:14" ht="15.75" hidden="1" customHeight="1" x14ac:dyDescent="0.2">
      <c r="B40" s="68"/>
      <c r="C40" s="10"/>
      <c r="D40" s="11"/>
      <c r="E40" s="11"/>
      <c r="F40" s="11"/>
      <c r="G40" s="11"/>
      <c r="H40" s="11"/>
      <c r="I40" s="60">
        <f t="shared" si="14"/>
        <v>0</v>
      </c>
      <c r="J40" s="12">
        <f t="shared" si="20"/>
        <v>0</v>
      </c>
      <c r="K40" s="12">
        <f t="shared" si="21"/>
        <v>0</v>
      </c>
      <c r="L40" s="62">
        <f t="shared" si="22"/>
        <v>0</v>
      </c>
      <c r="M40" s="207">
        <f t="shared" si="23"/>
        <v>0</v>
      </c>
      <c r="N40" s="209">
        <f t="shared" si="6"/>
        <v>0</v>
      </c>
    </row>
    <row r="41" spans="1:14" ht="15.75" hidden="1" customHeight="1" x14ac:dyDescent="0.2">
      <c r="B41" s="68"/>
      <c r="C41" s="10"/>
      <c r="D41" s="11"/>
      <c r="E41" s="11"/>
      <c r="F41" s="11"/>
      <c r="G41" s="11"/>
      <c r="H41" s="11"/>
      <c r="I41" s="60">
        <f t="shared" si="14"/>
        <v>0</v>
      </c>
      <c r="J41" s="12">
        <f t="shared" ref="J41:J45" si="24">+I41*0.05</f>
        <v>0</v>
      </c>
      <c r="K41" s="12">
        <f t="shared" ref="K41:K45" si="25">+I41*0.09975</f>
        <v>0</v>
      </c>
      <c r="L41" s="62">
        <f t="shared" ref="L41:L45" si="26">+I41+J41+K41</f>
        <v>0</v>
      </c>
      <c r="M41" s="207">
        <f t="shared" ref="M41:M45" si="27">+I41/2</f>
        <v>0</v>
      </c>
      <c r="N41" s="209">
        <f t="shared" si="6"/>
        <v>0</v>
      </c>
    </row>
    <row r="42" spans="1:14" ht="15.75" hidden="1" customHeight="1" x14ac:dyDescent="0.2">
      <c r="B42" s="68"/>
      <c r="C42" s="10"/>
      <c r="D42" s="11"/>
      <c r="E42" s="11"/>
      <c r="F42" s="11"/>
      <c r="G42" s="11"/>
      <c r="H42" s="11"/>
      <c r="I42" s="60">
        <f t="shared" si="14"/>
        <v>0</v>
      </c>
      <c r="J42" s="12">
        <f t="shared" si="24"/>
        <v>0</v>
      </c>
      <c r="K42" s="12">
        <f t="shared" si="25"/>
        <v>0</v>
      </c>
      <c r="L42" s="62">
        <f t="shared" si="26"/>
        <v>0</v>
      </c>
      <c r="M42" s="207">
        <f t="shared" si="27"/>
        <v>0</v>
      </c>
      <c r="N42" s="209">
        <f t="shared" si="6"/>
        <v>0</v>
      </c>
    </row>
    <row r="43" spans="1:14" ht="15.75" hidden="1" customHeight="1" x14ac:dyDescent="0.2">
      <c r="B43" s="68"/>
      <c r="C43" s="10"/>
      <c r="D43" s="11"/>
      <c r="E43" s="11"/>
      <c r="F43" s="11"/>
      <c r="G43" s="11"/>
      <c r="H43" s="11"/>
      <c r="I43" s="60">
        <f t="shared" si="14"/>
        <v>0</v>
      </c>
      <c r="J43" s="12">
        <f t="shared" si="24"/>
        <v>0</v>
      </c>
      <c r="K43" s="12">
        <f t="shared" si="25"/>
        <v>0</v>
      </c>
      <c r="L43" s="62">
        <f t="shared" si="26"/>
        <v>0</v>
      </c>
      <c r="M43" s="207">
        <f t="shared" si="27"/>
        <v>0</v>
      </c>
      <c r="N43" s="209">
        <f t="shared" si="6"/>
        <v>0</v>
      </c>
    </row>
    <row r="44" spans="1:14" ht="15.75" hidden="1" customHeight="1" x14ac:dyDescent="0.2">
      <c r="B44" s="68"/>
      <c r="C44" s="10"/>
      <c r="D44" s="11"/>
      <c r="E44" s="11"/>
      <c r="F44" s="11"/>
      <c r="G44" s="11"/>
      <c r="H44" s="11"/>
      <c r="I44" s="60">
        <f t="shared" si="14"/>
        <v>0</v>
      </c>
      <c r="J44" s="12">
        <f t="shared" si="24"/>
        <v>0</v>
      </c>
      <c r="K44" s="12">
        <f t="shared" si="25"/>
        <v>0</v>
      </c>
      <c r="L44" s="62">
        <f t="shared" si="26"/>
        <v>0</v>
      </c>
      <c r="M44" s="207">
        <f t="shared" si="27"/>
        <v>0</v>
      </c>
      <c r="N44" s="209">
        <f t="shared" si="6"/>
        <v>0</v>
      </c>
    </row>
    <row r="45" spans="1:14" ht="15.75" hidden="1" customHeight="1" x14ac:dyDescent="0.2">
      <c r="B45" s="68"/>
      <c r="C45" s="10"/>
      <c r="D45" s="11"/>
      <c r="E45" s="11"/>
      <c r="F45" s="11"/>
      <c r="G45" s="11"/>
      <c r="H45" s="11"/>
      <c r="I45" s="60">
        <f t="shared" si="14"/>
        <v>0</v>
      </c>
      <c r="J45" s="12">
        <f t="shared" si="24"/>
        <v>0</v>
      </c>
      <c r="K45" s="12">
        <f t="shared" si="25"/>
        <v>0</v>
      </c>
      <c r="L45" s="62">
        <f t="shared" si="26"/>
        <v>0</v>
      </c>
      <c r="M45" s="207">
        <f t="shared" si="27"/>
        <v>0</v>
      </c>
      <c r="N45" s="209">
        <f t="shared" si="6"/>
        <v>0</v>
      </c>
    </row>
    <row r="46" spans="1:14" ht="15.75" hidden="1" customHeight="1" x14ac:dyDescent="0.2">
      <c r="B46" s="68"/>
      <c r="C46" s="10"/>
      <c r="D46" s="11"/>
      <c r="E46" s="11"/>
      <c r="F46" s="11"/>
      <c r="G46" s="11"/>
      <c r="H46" s="11"/>
      <c r="I46" s="60">
        <f t="shared" si="14"/>
        <v>0</v>
      </c>
      <c r="J46" s="12"/>
      <c r="K46" s="12"/>
      <c r="L46" s="62"/>
      <c r="M46" s="207"/>
      <c r="N46" s="209">
        <f t="shared" si="6"/>
        <v>0</v>
      </c>
    </row>
    <row r="47" spans="1:14" ht="15.75" hidden="1" customHeight="1" x14ac:dyDescent="0.2">
      <c r="B47" s="68"/>
      <c r="C47" s="10"/>
      <c r="D47" s="11"/>
      <c r="E47" s="11"/>
      <c r="F47" s="11"/>
      <c r="G47" s="11"/>
      <c r="H47" s="11"/>
      <c r="I47" s="60">
        <f t="shared" si="14"/>
        <v>0</v>
      </c>
      <c r="J47" s="12"/>
      <c r="K47" s="12"/>
      <c r="L47" s="62"/>
      <c r="M47" s="207"/>
      <c r="N47" s="209">
        <f t="shared" si="6"/>
        <v>0</v>
      </c>
    </row>
    <row r="48" spans="1:14" ht="15.75" hidden="1" customHeight="1" x14ac:dyDescent="0.2">
      <c r="B48" s="68"/>
      <c r="C48" s="10"/>
      <c r="D48" s="11"/>
      <c r="E48" s="11"/>
      <c r="F48" s="11"/>
      <c r="G48" s="11"/>
      <c r="H48" s="11"/>
      <c r="I48" s="60">
        <f t="shared" si="14"/>
        <v>0</v>
      </c>
      <c r="J48" s="12"/>
      <c r="K48" s="12"/>
      <c r="L48" s="62"/>
      <c r="M48" s="207"/>
      <c r="N48" s="209">
        <f t="shared" si="6"/>
        <v>0</v>
      </c>
    </row>
    <row r="49" spans="1:16" ht="15.75" hidden="1" customHeight="1" x14ac:dyDescent="0.2">
      <c r="B49" s="68"/>
      <c r="C49" s="10"/>
      <c r="D49" s="11"/>
      <c r="E49" s="11"/>
      <c r="F49" s="11"/>
      <c r="G49" s="11"/>
      <c r="H49" s="11"/>
      <c r="I49" s="60">
        <f t="shared" si="14"/>
        <v>0</v>
      </c>
      <c r="J49" s="12"/>
      <c r="K49" s="12"/>
      <c r="L49" s="62"/>
      <c r="M49" s="207"/>
      <c r="N49" s="209">
        <f t="shared" si="6"/>
        <v>0</v>
      </c>
    </row>
    <row r="50" spans="1:16" ht="18.75" customHeight="1" thickBot="1" x14ac:dyDescent="0.25">
      <c r="A50" s="24"/>
      <c r="B50" s="24"/>
      <c r="C50" s="24"/>
      <c r="D50" s="24">
        <f t="shared" ref="D50" si="28">SUM(D5:D40)</f>
        <v>3941178.5200000005</v>
      </c>
      <c r="E50" s="24">
        <f>SUM(E5:E40)</f>
        <v>2430239.6925000004</v>
      </c>
      <c r="F50" s="24">
        <f>SUM(F5:F40)</f>
        <v>1265663.2625000002</v>
      </c>
      <c r="G50" s="24">
        <f>SUM(G5:G40)</f>
        <v>1261810.7425000002</v>
      </c>
      <c r="H50" s="24">
        <f>SUM(H5:H49)</f>
        <v>1291922.5325000002</v>
      </c>
      <c r="I50" s="61">
        <f>SUM(I5:I49)</f>
        <v>6249636.2300000004</v>
      </c>
      <c r="J50" s="24">
        <f t="shared" si="11"/>
        <v>312481.81150000001</v>
      </c>
      <c r="K50" s="24">
        <f t="shared" si="12"/>
        <v>623401.21394250006</v>
      </c>
      <c r="L50" s="159">
        <f t="shared" si="13"/>
        <v>7185519.2554425001</v>
      </c>
      <c r="M50" s="159">
        <f>SUM(M6:M49)</f>
        <v>7151274.7562450012</v>
      </c>
      <c r="N50" s="159">
        <f>SUM(N6:N49)</f>
        <v>34244.498925</v>
      </c>
    </row>
    <row r="51" spans="1:16" ht="18.75" customHeight="1" thickTop="1" x14ac:dyDescent="0.2">
      <c r="B51" s="68"/>
      <c r="C51" s="10" t="s">
        <v>30</v>
      </c>
      <c r="D51" s="200"/>
      <c r="E51" s="67">
        <f t="shared" ref="E51:F51" si="29">+E50/E4</f>
        <v>0.96813072335895323</v>
      </c>
      <c r="F51" s="67">
        <f t="shared" si="29"/>
        <v>0.96638259408683758</v>
      </c>
      <c r="G51" s="67">
        <f t="shared" ref="G51:L51" si="30">+G50/G4</f>
        <v>0.96796071369503178</v>
      </c>
      <c r="H51" s="67">
        <f t="shared" si="30"/>
        <v>0.96964763316360747</v>
      </c>
      <c r="I51" s="67">
        <f t="shared" si="30"/>
        <v>0.96805481467084009</v>
      </c>
      <c r="J51" s="67">
        <f t="shared" si="30"/>
        <v>0.96805481467083998</v>
      </c>
      <c r="K51" s="67">
        <f t="shared" si="30"/>
        <v>0.96805481467083998</v>
      </c>
      <c r="L51" s="67">
        <f t="shared" si="30"/>
        <v>0.96805481467084009</v>
      </c>
      <c r="M51" s="70"/>
    </row>
    <row r="52" spans="1:16" ht="18.75" customHeight="1" x14ac:dyDescent="0.2">
      <c r="B52" s="68"/>
      <c r="C52" s="39"/>
      <c r="D52" s="39"/>
      <c r="E52" s="210"/>
      <c r="F52" s="210"/>
      <c r="G52" s="210"/>
      <c r="H52" s="210"/>
      <c r="I52" s="11"/>
      <c r="J52" s="11"/>
      <c r="K52" s="11"/>
      <c r="L52" s="11"/>
      <c r="M52" s="70"/>
    </row>
    <row r="53" spans="1:16" ht="18.75" customHeight="1" x14ac:dyDescent="0.2"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70"/>
    </row>
    <row r="54" spans="1:16" x14ac:dyDescent="0.2">
      <c r="C54" s="40"/>
      <c r="D54" s="40"/>
      <c r="E54" s="9"/>
      <c r="F54" s="9"/>
      <c r="I54" s="12"/>
      <c r="J54" s="12"/>
      <c r="K54" s="12"/>
      <c r="L54" s="12"/>
      <c r="M54" s="70"/>
      <c r="N54" s="43"/>
      <c r="O54" s="43"/>
    </row>
    <row r="55" spans="1:16" x14ac:dyDescent="0.2">
      <c r="C55" s="40"/>
      <c r="D55" s="40"/>
      <c r="E55" s="50"/>
      <c r="I55" s="12"/>
      <c r="J55" s="12"/>
      <c r="K55" s="12"/>
      <c r="L55" s="12"/>
      <c r="M55" s="70"/>
      <c r="N55" s="44"/>
      <c r="O55" s="44"/>
      <c r="P55" s="45"/>
    </row>
    <row r="56" spans="1:16" x14ac:dyDescent="0.2">
      <c r="C56" s="40"/>
      <c r="D56" s="40"/>
      <c r="E56" s="9"/>
      <c r="F56" s="9"/>
      <c r="I56" s="12"/>
      <c r="J56" s="12"/>
      <c r="K56" s="12"/>
      <c r="L56" s="12"/>
      <c r="M56" s="70"/>
      <c r="N56" s="44"/>
      <c r="O56" s="44"/>
      <c r="P56" s="44"/>
    </row>
    <row r="57" spans="1:16" ht="11.25" x14ac:dyDescent="0.2">
      <c r="B57" s="1"/>
      <c r="C57" s="40"/>
      <c r="D57" s="40"/>
      <c r="G57" s="50"/>
      <c r="I57" s="12"/>
      <c r="J57" s="12"/>
      <c r="K57" s="12"/>
      <c r="L57" s="12"/>
      <c r="M57" s="70"/>
    </row>
    <row r="58" spans="1:16" x14ac:dyDescent="0.2">
      <c r="C58" s="40"/>
      <c r="D58" s="40"/>
      <c r="E58" s="9"/>
      <c r="F58" s="9"/>
      <c r="I58" s="12"/>
      <c r="J58" s="12"/>
      <c r="K58" s="12"/>
      <c r="L58" s="12"/>
      <c r="M58" s="70"/>
    </row>
    <row r="59" spans="1:16" x14ac:dyDescent="0.2">
      <c r="C59" s="40"/>
      <c r="D59" s="40"/>
      <c r="I59" s="12"/>
      <c r="J59" s="12"/>
      <c r="K59" s="12"/>
      <c r="L59" s="12"/>
      <c r="M59" s="70"/>
      <c r="P59" s="46"/>
    </row>
    <row r="60" spans="1:16" x14ac:dyDescent="0.2">
      <c r="B60" s="17"/>
      <c r="C60" s="40"/>
      <c r="D60" s="40"/>
      <c r="E60" s="9"/>
      <c r="F60" s="9"/>
      <c r="G60" s="9"/>
      <c r="H60" s="9"/>
      <c r="I60" s="12"/>
      <c r="J60" s="12"/>
      <c r="K60" s="12"/>
      <c r="L60" s="12"/>
      <c r="M60" s="70"/>
      <c r="N60" s="43"/>
      <c r="O60" s="43"/>
      <c r="P60" s="47"/>
    </row>
    <row r="61" spans="1:16" x14ac:dyDescent="0.2">
      <c r="B61" s="18"/>
      <c r="C61" s="40"/>
      <c r="D61" s="40"/>
      <c r="E61" s="49"/>
      <c r="F61" s="9"/>
      <c r="I61" s="12"/>
      <c r="J61" s="12"/>
      <c r="K61" s="12"/>
      <c r="L61" s="12"/>
      <c r="M61" s="70"/>
      <c r="N61" s="44"/>
      <c r="O61" s="44"/>
      <c r="P61" s="44"/>
    </row>
    <row r="62" spans="1:16" x14ac:dyDescent="0.2">
      <c r="B62" s="18"/>
      <c r="C62" s="40"/>
      <c r="D62" s="40"/>
      <c r="E62" s="49"/>
      <c r="F62" s="9"/>
      <c r="I62" s="12"/>
      <c r="J62" s="12"/>
      <c r="K62" s="12"/>
      <c r="L62" s="12"/>
      <c r="M62" s="70"/>
      <c r="N62" s="42"/>
      <c r="O62" s="42"/>
      <c r="P62" s="44"/>
    </row>
    <row r="63" spans="1:16" x14ac:dyDescent="0.2">
      <c r="B63" s="17"/>
      <c r="D63" s="70"/>
      <c r="E63" s="40"/>
      <c r="F63" s="41"/>
      <c r="G63" s="70"/>
      <c r="I63" s="12"/>
      <c r="J63" s="12"/>
      <c r="K63" s="12"/>
      <c r="L63" s="12"/>
      <c r="M63" s="70"/>
      <c r="N63" s="48"/>
      <c r="O63" s="48"/>
      <c r="P63" s="44"/>
    </row>
    <row r="64" spans="1:16" x14ac:dyDescent="0.2">
      <c r="D64" s="70"/>
      <c r="E64" s="40"/>
      <c r="F64" s="41"/>
      <c r="G64" s="70"/>
      <c r="I64" s="12"/>
      <c r="J64" s="12"/>
      <c r="K64" s="12"/>
      <c r="L64" s="12"/>
      <c r="M64" s="70"/>
      <c r="N64" s="42"/>
      <c r="O64" s="42"/>
      <c r="P64" s="44"/>
    </row>
    <row r="65" spans="2:16" x14ac:dyDescent="0.2">
      <c r="C65" s="33"/>
      <c r="D65" s="70"/>
      <c r="E65" s="40"/>
      <c r="F65" s="41"/>
      <c r="G65" s="70"/>
      <c r="H65" s="13"/>
      <c r="I65" s="12"/>
      <c r="J65" s="12"/>
      <c r="K65" s="12"/>
      <c r="L65" s="12"/>
      <c r="M65" s="70"/>
    </row>
    <row r="66" spans="2:16" x14ac:dyDescent="0.2">
      <c r="B66" s="18"/>
      <c r="D66" s="70"/>
      <c r="E66" s="40"/>
      <c r="F66" s="41"/>
      <c r="G66" s="70"/>
      <c r="H66" s="13"/>
      <c r="I66" s="12"/>
      <c r="J66" s="12"/>
      <c r="K66" s="12"/>
      <c r="L66" s="12"/>
      <c r="M66" s="70"/>
      <c r="N66" s="40"/>
      <c r="O66" s="40"/>
      <c r="P66" s="41"/>
    </row>
    <row r="67" spans="2:16" x14ac:dyDescent="0.2">
      <c r="B67" s="17"/>
      <c r="D67" s="70"/>
      <c r="E67" s="40"/>
      <c r="F67" s="41"/>
      <c r="G67" s="70"/>
      <c r="I67" s="12"/>
      <c r="J67" s="12"/>
      <c r="K67" s="12"/>
      <c r="L67" s="12"/>
      <c r="M67" s="70"/>
    </row>
    <row r="68" spans="2:16" x14ac:dyDescent="0.2">
      <c r="D68" s="70"/>
      <c r="E68" s="70"/>
      <c r="F68" s="70"/>
      <c r="G68" s="70"/>
      <c r="H68" s="9"/>
      <c r="I68" s="12"/>
      <c r="J68" s="12"/>
      <c r="K68" s="12"/>
      <c r="L68" s="12"/>
      <c r="M68" s="70"/>
      <c r="N68" s="40"/>
      <c r="O68" s="40"/>
      <c r="P68" s="40"/>
    </row>
    <row r="69" spans="2:16" x14ac:dyDescent="0.2">
      <c r="D69" s="40"/>
      <c r="E69" s="13"/>
      <c r="F69" s="13"/>
      <c r="G69" s="70"/>
      <c r="H69" s="70"/>
      <c r="I69" s="12"/>
      <c r="J69" s="12"/>
      <c r="K69" s="12"/>
      <c r="L69" s="12"/>
      <c r="M69" s="120"/>
      <c r="N69" s="40"/>
    </row>
    <row r="70" spans="2:16" x14ac:dyDescent="0.2">
      <c r="D70" s="40"/>
      <c r="G70" s="70"/>
      <c r="I70" s="12"/>
      <c r="J70" s="12"/>
      <c r="K70" s="12"/>
      <c r="L70" s="12"/>
      <c r="M70" s="70"/>
    </row>
    <row r="71" spans="2:16" x14ac:dyDescent="0.2">
      <c r="D71" s="40"/>
      <c r="I71" s="12"/>
      <c r="J71" s="12"/>
      <c r="K71" s="12"/>
      <c r="L71" s="12"/>
      <c r="M71" s="70"/>
      <c r="N71" s="40"/>
      <c r="O71" s="40"/>
      <c r="P71" s="40"/>
    </row>
    <row r="72" spans="2:16" x14ac:dyDescent="0.2">
      <c r="D72" s="40"/>
    </row>
    <row r="73" spans="2:16" x14ac:dyDescent="0.2">
      <c r="D73" s="40"/>
      <c r="N73" s="32"/>
    </row>
    <row r="78" spans="2:16" x14ac:dyDescent="0.2">
      <c r="E78" s="12"/>
      <c r="F78" s="12"/>
      <c r="G78" s="12"/>
      <c r="H78" s="12"/>
    </row>
    <row r="83" spans="1:12" ht="11.25" x14ac:dyDescent="0.2">
      <c r="A83" s="1"/>
      <c r="B83" s="1"/>
      <c r="C83" s="1"/>
      <c r="D83" s="1"/>
      <c r="E83" s="12"/>
      <c r="F83" s="12"/>
      <c r="G83" s="12"/>
      <c r="H83" s="12"/>
      <c r="I83" s="1"/>
      <c r="J83" s="1"/>
      <c r="K83" s="1"/>
      <c r="L83" s="1"/>
    </row>
  </sheetData>
  <mergeCells count="2">
    <mergeCell ref="N3:N4"/>
    <mergeCell ref="M3:M4"/>
  </mergeCells>
  <phoneticPr fontId="21" type="noConversion"/>
  <pageMargins left="0" right="0" top="0.19685039370078741" bottom="0" header="0.39370078740157483" footer="0.15748031496062992"/>
  <pageSetup paperSize="5" scale="70" orientation="landscape" cellComments="asDisplayed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94"/>
  <sheetViews>
    <sheetView showGridLines="0" topLeftCell="A54" zoomScaleNormal="100" workbookViewId="0">
      <selection activeCell="C15" sqref="C15"/>
    </sheetView>
  </sheetViews>
  <sheetFormatPr baseColWidth="10" defaultColWidth="11.42578125" defaultRowHeight="12.75" x14ac:dyDescent="0.2"/>
  <cols>
    <col min="1" max="1" width="12.5703125" style="14" customWidth="1"/>
    <col min="2" max="2" width="27" style="51" customWidth="1"/>
    <col min="3" max="3" width="13.5703125" style="65" customWidth="1"/>
    <col min="4" max="4" width="13.5703125" style="3" customWidth="1"/>
    <col min="5" max="5" width="10.42578125" style="34" customWidth="1"/>
    <col min="6" max="6" width="14.140625" style="4" customWidth="1"/>
    <col min="7" max="7" width="16.28515625" style="4" customWidth="1"/>
    <col min="8" max="8" width="15.7109375" style="1" customWidth="1"/>
    <col min="9" max="9" width="12.140625" style="19" customWidth="1"/>
    <col min="10" max="12" width="12.140625" style="4" customWidth="1"/>
    <col min="13" max="13" width="12.85546875" style="1" customWidth="1"/>
    <col min="14" max="14" width="11.140625" style="1" customWidth="1"/>
    <col min="15" max="15" width="15.5703125" style="1" customWidth="1"/>
    <col min="16" max="16" width="13.7109375" style="50" hidden="1" customWidth="1"/>
    <col min="17" max="17" width="11.42578125" style="50" hidden="1" customWidth="1"/>
    <col min="18" max="16384" width="11.42578125" style="1"/>
  </cols>
  <sheetData>
    <row r="1" spans="1:39" ht="15.75" x14ac:dyDescent="0.25">
      <c r="A1" s="69" t="s">
        <v>504</v>
      </c>
    </row>
    <row r="2" spans="1:39" ht="16.5" thickBot="1" x14ac:dyDescent="0.3">
      <c r="A2" s="69"/>
      <c r="L2" s="5"/>
    </row>
    <row r="3" spans="1:39" s="36" customFormat="1" ht="26.25" customHeight="1" x14ac:dyDescent="0.2">
      <c r="A3" s="83" t="s">
        <v>0</v>
      </c>
      <c r="B3" s="84" t="s">
        <v>6</v>
      </c>
      <c r="C3" s="85" t="s">
        <v>1</v>
      </c>
      <c r="D3" s="84" t="s">
        <v>27</v>
      </c>
      <c r="E3" s="84" t="s">
        <v>28</v>
      </c>
      <c r="F3" s="84" t="s">
        <v>7</v>
      </c>
      <c r="G3" s="84" t="s">
        <v>8</v>
      </c>
      <c r="H3" s="89" t="s">
        <v>29</v>
      </c>
      <c r="I3" s="86" t="s">
        <v>2</v>
      </c>
      <c r="J3" s="84" t="s">
        <v>3</v>
      </c>
      <c r="K3" s="84" t="s">
        <v>4</v>
      </c>
      <c r="L3" s="84" t="s">
        <v>5</v>
      </c>
      <c r="M3" s="160" t="s">
        <v>9</v>
      </c>
      <c r="N3" s="161" t="s">
        <v>31</v>
      </c>
      <c r="O3" s="87" t="s">
        <v>11</v>
      </c>
      <c r="P3" s="111" t="s">
        <v>505</v>
      </c>
      <c r="Q3" s="163" t="s">
        <v>64</v>
      </c>
      <c r="R3" s="1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</row>
    <row r="4" spans="1:39" ht="17.25" customHeight="1" x14ac:dyDescent="0.2">
      <c r="A4" s="25">
        <v>44056</v>
      </c>
      <c r="B4" s="52" t="s">
        <v>36</v>
      </c>
      <c r="C4" s="10">
        <v>36379</v>
      </c>
      <c r="D4" s="56">
        <v>0</v>
      </c>
      <c r="E4" s="63">
        <v>376.25</v>
      </c>
      <c r="F4" s="11">
        <f>D4*125</f>
        <v>0</v>
      </c>
      <c r="G4" s="11">
        <v>25530.13</v>
      </c>
      <c r="H4" s="158">
        <v>372.18</v>
      </c>
      <c r="I4" s="20">
        <f t="shared" ref="I4:I8" si="0">SUM(F4:H4)</f>
        <v>25902.31</v>
      </c>
      <c r="J4" s="8">
        <f t="shared" ref="J4:J8" si="1">+I4*0.05</f>
        <v>1295.1155000000001</v>
      </c>
      <c r="K4" s="8">
        <f t="shared" ref="K4:K8" si="2">+I4*0.09975</f>
        <v>2583.7554225000003</v>
      </c>
      <c r="L4" s="8">
        <f t="shared" ref="L4:L8" si="3">SUM(I4:K4)</f>
        <v>29781.180922500003</v>
      </c>
      <c r="M4" s="90">
        <v>29781.180922500003</v>
      </c>
      <c r="N4" s="162">
        <f>+L4-M4</f>
        <v>0</v>
      </c>
      <c r="O4" s="5"/>
      <c r="P4" s="112"/>
      <c r="R4" s="165"/>
    </row>
    <row r="5" spans="1:39" ht="17.25" customHeight="1" x14ac:dyDescent="0.2">
      <c r="A5" s="25">
        <v>44075</v>
      </c>
      <c r="B5" s="52" t="s">
        <v>37</v>
      </c>
      <c r="C5" s="10">
        <v>36511</v>
      </c>
      <c r="D5" s="56">
        <v>0</v>
      </c>
      <c r="E5" s="63">
        <v>244.5</v>
      </c>
      <c r="F5" s="11">
        <f>D5*125</f>
        <v>0</v>
      </c>
      <c r="G5" s="11">
        <v>14942.08</v>
      </c>
      <c r="H5" s="158">
        <v>131.5</v>
      </c>
      <c r="I5" s="20">
        <f t="shared" si="0"/>
        <v>15073.58</v>
      </c>
      <c r="J5" s="8">
        <f t="shared" si="1"/>
        <v>753.67900000000009</v>
      </c>
      <c r="K5" s="8">
        <f t="shared" si="2"/>
        <v>1503.5896050000001</v>
      </c>
      <c r="L5" s="8">
        <f t="shared" si="3"/>
        <v>17330.848604999999</v>
      </c>
      <c r="M5" s="90">
        <v>17330.848604999999</v>
      </c>
      <c r="N5" s="162">
        <f t="shared" ref="N5:N15" si="4">+L5-M5</f>
        <v>0</v>
      </c>
      <c r="O5" s="5"/>
      <c r="P5" s="112">
        <v>7864.25</v>
      </c>
      <c r="Q5" s="50">
        <v>0</v>
      </c>
      <c r="R5" s="165"/>
    </row>
    <row r="6" spans="1:39" ht="17.25" customHeight="1" x14ac:dyDescent="0.2">
      <c r="A6" s="25">
        <v>44109</v>
      </c>
      <c r="B6" s="52" t="s">
        <v>52</v>
      </c>
      <c r="C6" s="10">
        <v>36753</v>
      </c>
      <c r="D6" s="56">
        <v>3.5</v>
      </c>
      <c r="E6" s="63">
        <v>635.25</v>
      </c>
      <c r="F6" s="11">
        <f>D6*125</f>
        <v>437.5</v>
      </c>
      <c r="G6" s="11">
        <f>44978.41-F6</f>
        <v>44540.91</v>
      </c>
      <c r="H6" s="158">
        <f>120.32</f>
        <v>120.32</v>
      </c>
      <c r="I6" s="20">
        <f t="shared" si="0"/>
        <v>45098.73</v>
      </c>
      <c r="J6" s="8">
        <f t="shared" si="1"/>
        <v>2254.9365000000003</v>
      </c>
      <c r="K6" s="8">
        <f t="shared" si="2"/>
        <v>4498.5983175000001</v>
      </c>
      <c r="L6" s="8">
        <f t="shared" si="3"/>
        <v>51852.264817500007</v>
      </c>
      <c r="M6" s="90">
        <v>51852.264817500007</v>
      </c>
      <c r="N6" s="162">
        <f t="shared" si="4"/>
        <v>0</v>
      </c>
      <c r="O6" s="5">
        <v>18750</v>
      </c>
      <c r="P6" s="112">
        <v>22491.279999999999</v>
      </c>
      <c r="Q6" s="50">
        <v>1287.81</v>
      </c>
      <c r="R6" s="165"/>
    </row>
    <row r="7" spans="1:39" ht="17.25" customHeight="1" x14ac:dyDescent="0.2">
      <c r="A7" s="25">
        <v>44137</v>
      </c>
      <c r="B7" s="52" t="s">
        <v>65</v>
      </c>
      <c r="C7" s="10">
        <v>37027</v>
      </c>
      <c r="D7" s="56">
        <v>0</v>
      </c>
      <c r="E7" s="63">
        <v>489.25</v>
      </c>
      <c r="F7" s="11">
        <v>0</v>
      </c>
      <c r="G7" s="11">
        <v>34001.71</v>
      </c>
      <c r="H7" s="158">
        <f>157.65</f>
        <v>157.65</v>
      </c>
      <c r="I7" s="20">
        <f t="shared" si="0"/>
        <v>34159.360000000001</v>
      </c>
      <c r="J7" s="8">
        <f t="shared" si="1"/>
        <v>1707.9680000000001</v>
      </c>
      <c r="K7" s="8">
        <f t="shared" si="2"/>
        <v>3407.3961600000002</v>
      </c>
      <c r="L7" s="8">
        <f t="shared" si="3"/>
        <v>39274.724159999998</v>
      </c>
      <c r="M7" s="90">
        <v>39274.724159999998</v>
      </c>
      <c r="N7" s="162">
        <f t="shared" si="4"/>
        <v>0</v>
      </c>
      <c r="O7" s="5"/>
      <c r="P7" s="112">
        <v>17184.75</v>
      </c>
      <c r="Q7" s="50">
        <v>710.87</v>
      </c>
      <c r="R7" s="165"/>
    </row>
    <row r="8" spans="1:39" ht="17.25" customHeight="1" x14ac:dyDescent="0.2">
      <c r="A8" s="25">
        <v>44166</v>
      </c>
      <c r="B8" s="52" t="s">
        <v>75</v>
      </c>
      <c r="C8" s="10">
        <v>37288</v>
      </c>
      <c r="D8" s="56">
        <v>0</v>
      </c>
      <c r="E8" s="63">
        <v>611.75</v>
      </c>
      <c r="F8" s="11">
        <v>0</v>
      </c>
      <c r="G8" s="11">
        <v>42751.38</v>
      </c>
      <c r="H8" s="158"/>
      <c r="I8" s="20">
        <f t="shared" si="0"/>
        <v>42751.38</v>
      </c>
      <c r="J8" s="8">
        <f t="shared" si="1"/>
        <v>2137.569</v>
      </c>
      <c r="K8" s="8">
        <f t="shared" si="2"/>
        <v>4264.4501549999995</v>
      </c>
      <c r="L8" s="8">
        <f t="shared" si="3"/>
        <v>49153.399154999999</v>
      </c>
      <c r="M8" s="90">
        <v>49153.399154999999</v>
      </c>
      <c r="N8" s="162">
        <f t="shared" si="4"/>
        <v>0</v>
      </c>
      <c r="O8" s="5"/>
      <c r="P8" s="112">
        <v>20202.75</v>
      </c>
      <c r="Q8" s="50">
        <v>2297.9499999999998</v>
      </c>
      <c r="R8" s="165"/>
    </row>
    <row r="9" spans="1:39" ht="17.25" customHeight="1" x14ac:dyDescent="0.2">
      <c r="A9" s="25">
        <v>44202</v>
      </c>
      <c r="B9" s="52" t="s">
        <v>82</v>
      </c>
      <c r="C9" s="10">
        <v>37610</v>
      </c>
      <c r="D9" s="56">
        <v>2.5</v>
      </c>
      <c r="E9" s="63">
        <f>639.25-D9</f>
        <v>636.75</v>
      </c>
      <c r="F9" s="11">
        <f>2.5*125</f>
        <v>312.5</v>
      </c>
      <c r="G9" s="11">
        <f>33669.26-F9</f>
        <v>33356.76</v>
      </c>
      <c r="H9" s="158">
        <f>268.58</f>
        <v>268.58</v>
      </c>
      <c r="I9" s="20">
        <f>SUM(F9:H9)</f>
        <v>33937.840000000004</v>
      </c>
      <c r="J9" s="8">
        <f>+I9*0.05</f>
        <v>1696.8920000000003</v>
      </c>
      <c r="K9" s="8">
        <f>+I9*0.09975</f>
        <v>3385.2995400000004</v>
      </c>
      <c r="L9" s="8">
        <f>SUM(I9:K9)</f>
        <v>39020.031540000004</v>
      </c>
      <c r="M9" s="90">
        <v>39020.031540000004</v>
      </c>
      <c r="N9" s="162">
        <f t="shared" si="4"/>
        <v>0</v>
      </c>
      <c r="O9" s="5"/>
      <c r="P9" s="112">
        <v>16765.88</v>
      </c>
      <c r="Q9" s="50">
        <f>257.13+2112.01</f>
        <v>2369.1400000000003</v>
      </c>
      <c r="R9" s="165"/>
    </row>
    <row r="10" spans="1:39" ht="17.25" customHeight="1" x14ac:dyDescent="0.2">
      <c r="A10" s="25">
        <v>44231</v>
      </c>
      <c r="B10" s="52" t="s">
        <v>97</v>
      </c>
      <c r="C10" s="10">
        <v>37894</v>
      </c>
      <c r="D10" s="56">
        <v>0</v>
      </c>
      <c r="E10" s="63">
        <v>613.75</v>
      </c>
      <c r="F10" s="11">
        <v>0</v>
      </c>
      <c r="G10" s="11">
        <v>48962.879999999997</v>
      </c>
      <c r="H10" s="158">
        <f>9+4</f>
        <v>13</v>
      </c>
      <c r="I10" s="20">
        <f t="shared" ref="I10:I30" si="5">SUM(F10:H10)</f>
        <v>48975.88</v>
      </c>
      <c r="J10" s="8">
        <f t="shared" ref="J10:J31" si="6">+I10*0.05</f>
        <v>2448.7939999999999</v>
      </c>
      <c r="K10" s="8">
        <f t="shared" ref="K10:K35" si="7">+I10*0.09975</f>
        <v>4885.3440300000002</v>
      </c>
      <c r="L10" s="8">
        <f t="shared" ref="L10:L31" si="8">SUM(I10:K10)</f>
        <v>56310.018029999999</v>
      </c>
      <c r="M10" s="90">
        <v>56310.018029999999</v>
      </c>
      <c r="N10" s="162">
        <f t="shared" si="4"/>
        <v>0</v>
      </c>
      <c r="O10" s="5"/>
      <c r="P10" s="112">
        <v>25360.13</v>
      </c>
      <c r="Q10" s="50">
        <v>408.36</v>
      </c>
      <c r="R10" s="165"/>
    </row>
    <row r="11" spans="1:39" ht="17.25" customHeight="1" x14ac:dyDescent="0.2">
      <c r="A11" s="25">
        <v>44257</v>
      </c>
      <c r="B11" s="52" t="s">
        <v>103</v>
      </c>
      <c r="C11" s="10">
        <v>38109</v>
      </c>
      <c r="D11" s="56">
        <v>1</v>
      </c>
      <c r="E11" s="63">
        <f>703-D11</f>
        <v>702</v>
      </c>
      <c r="F11" s="11">
        <v>125</v>
      </c>
      <c r="G11" s="11">
        <f>53264.43-F11</f>
        <v>53139.43</v>
      </c>
      <c r="H11" s="158"/>
      <c r="I11" s="20">
        <f t="shared" si="5"/>
        <v>53264.43</v>
      </c>
      <c r="J11" s="8">
        <f t="shared" si="6"/>
        <v>2663.2215000000001</v>
      </c>
      <c r="K11" s="8">
        <f t="shared" si="7"/>
        <v>5313.1268925000004</v>
      </c>
      <c r="L11" s="8">
        <f t="shared" si="8"/>
        <v>61240.778392499997</v>
      </c>
      <c r="M11" s="90">
        <v>61240.778392499997</v>
      </c>
      <c r="N11" s="162">
        <f t="shared" si="4"/>
        <v>0</v>
      </c>
      <c r="O11" s="5">
        <v>81250</v>
      </c>
      <c r="P11" s="112">
        <v>24586.15</v>
      </c>
      <c r="Q11" s="50">
        <v>3477.98</v>
      </c>
      <c r="R11" s="165"/>
    </row>
    <row r="12" spans="1:39" ht="17.25" customHeight="1" x14ac:dyDescent="0.2">
      <c r="A12" s="25">
        <v>44293</v>
      </c>
      <c r="B12" s="52" t="s">
        <v>109</v>
      </c>
      <c r="C12" s="10">
        <v>38486</v>
      </c>
      <c r="D12" s="56">
        <v>0</v>
      </c>
      <c r="E12" s="63">
        <v>299.75</v>
      </c>
      <c r="F12" s="11">
        <v>0</v>
      </c>
      <c r="G12" s="11">
        <v>17723.03</v>
      </c>
      <c r="H12" s="158"/>
      <c r="I12" s="20">
        <f t="shared" si="5"/>
        <v>17723.03</v>
      </c>
      <c r="J12" s="8">
        <f t="shared" si="6"/>
        <v>886.15149999999994</v>
      </c>
      <c r="K12" s="8">
        <f t="shared" si="7"/>
        <v>1767.8722425000001</v>
      </c>
      <c r="L12" s="8">
        <f t="shared" si="8"/>
        <v>20377.0537425</v>
      </c>
      <c r="M12" s="90">
        <v>20377.0537425</v>
      </c>
      <c r="N12" s="162">
        <f t="shared" si="4"/>
        <v>0</v>
      </c>
      <c r="O12" s="5"/>
      <c r="P12" s="112">
        <v>9285.8799999999992</v>
      </c>
      <c r="Q12" s="50">
        <v>42.03</v>
      </c>
      <c r="R12" s="165"/>
    </row>
    <row r="13" spans="1:39" ht="17.25" customHeight="1" x14ac:dyDescent="0.2">
      <c r="A13" s="25">
        <v>44319</v>
      </c>
      <c r="B13" s="52" t="s">
        <v>114</v>
      </c>
      <c r="C13" s="10">
        <v>38647</v>
      </c>
      <c r="D13" s="56">
        <v>4</v>
      </c>
      <c r="E13" s="63">
        <v>492.25</v>
      </c>
      <c r="F13" s="11">
        <v>500</v>
      </c>
      <c r="G13" s="11">
        <f>29709.98-F13</f>
        <v>29209.98</v>
      </c>
      <c r="H13" s="158"/>
      <c r="I13" s="20">
        <f t="shared" si="5"/>
        <v>29709.98</v>
      </c>
      <c r="J13" s="8">
        <f t="shared" si="6"/>
        <v>1485.499</v>
      </c>
      <c r="K13" s="8">
        <f t="shared" si="7"/>
        <v>2963.5705050000001</v>
      </c>
      <c r="L13" s="8">
        <f t="shared" si="8"/>
        <v>34159.049505000003</v>
      </c>
      <c r="M13" s="90">
        <v>34159.049505000003</v>
      </c>
      <c r="N13" s="162">
        <f t="shared" si="4"/>
        <v>0</v>
      </c>
      <c r="O13" s="5"/>
      <c r="P13" s="112">
        <v>11343.28</v>
      </c>
      <c r="Q13" s="50">
        <v>210.15</v>
      </c>
      <c r="R13" s="165"/>
    </row>
    <row r="14" spans="1:39" ht="17.25" customHeight="1" x14ac:dyDescent="0.2">
      <c r="A14" s="25">
        <v>44349</v>
      </c>
      <c r="B14" s="52" t="s">
        <v>118</v>
      </c>
      <c r="C14" s="10">
        <v>39182</v>
      </c>
      <c r="D14" s="56">
        <v>4</v>
      </c>
      <c r="E14" s="63">
        <v>179.5</v>
      </c>
      <c r="F14" s="11">
        <v>500</v>
      </c>
      <c r="G14" s="11">
        <f>11609.31-500</f>
        <v>11109.31</v>
      </c>
      <c r="H14" s="158"/>
      <c r="I14" s="20">
        <f t="shared" si="5"/>
        <v>11609.31</v>
      </c>
      <c r="J14" s="8">
        <f t="shared" si="6"/>
        <v>580.46550000000002</v>
      </c>
      <c r="K14" s="8">
        <f t="shared" si="7"/>
        <v>1158.0286725000001</v>
      </c>
      <c r="L14" s="8">
        <f>SUM(I14:K14)+0.01</f>
        <v>13347.8141725</v>
      </c>
      <c r="M14" s="90">
        <v>13347.8141725</v>
      </c>
      <c r="N14" s="162">
        <f t="shared" si="4"/>
        <v>0</v>
      </c>
      <c r="O14" s="5"/>
      <c r="P14" s="112">
        <v>6322.35</v>
      </c>
      <c r="Q14" s="50">
        <v>375.25</v>
      </c>
      <c r="R14" s="165"/>
    </row>
    <row r="15" spans="1:39" ht="17.25" customHeight="1" x14ac:dyDescent="0.2">
      <c r="A15" s="25">
        <v>44378</v>
      </c>
      <c r="B15" s="52" t="s">
        <v>122</v>
      </c>
      <c r="C15" s="10" t="s">
        <v>123</v>
      </c>
      <c r="D15" s="56">
        <v>4</v>
      </c>
      <c r="E15" s="63">
        <f>93.25+4</f>
        <v>97.25</v>
      </c>
      <c r="F15" s="11">
        <v>500</v>
      </c>
      <c r="G15" s="11">
        <f>6045.63-F15+293.73</f>
        <v>5839.3600000000006</v>
      </c>
      <c r="H15" s="158"/>
      <c r="I15" s="20">
        <f t="shared" si="5"/>
        <v>6339.3600000000006</v>
      </c>
      <c r="J15" s="8">
        <f t="shared" si="6"/>
        <v>316.96800000000007</v>
      </c>
      <c r="K15" s="8">
        <f t="shared" si="7"/>
        <v>632.35116000000005</v>
      </c>
      <c r="L15" s="8">
        <f t="shared" si="8"/>
        <v>7288.6791600000006</v>
      </c>
      <c r="M15" s="90">
        <v>7288.6791600000006</v>
      </c>
      <c r="N15" s="162">
        <f t="shared" si="4"/>
        <v>0</v>
      </c>
      <c r="O15" s="5"/>
      <c r="P15" s="112">
        <v>3390.35</v>
      </c>
      <c r="Q15" s="50">
        <v>154.59</v>
      </c>
      <c r="R15" s="165"/>
    </row>
    <row r="16" spans="1:39" ht="17.25" customHeight="1" x14ac:dyDescent="0.2">
      <c r="A16" s="25">
        <v>44414</v>
      </c>
      <c r="B16" s="52" t="s">
        <v>127</v>
      </c>
      <c r="C16" s="10" t="s">
        <v>128</v>
      </c>
      <c r="D16" s="56">
        <v>3</v>
      </c>
      <c r="E16" s="63">
        <v>12</v>
      </c>
      <c r="F16" s="11">
        <v>375</v>
      </c>
      <c r="G16" s="11">
        <f>1144.98-F16</f>
        <v>769.98</v>
      </c>
      <c r="H16" s="158"/>
      <c r="I16" s="20">
        <f>SUM(F16:H16)</f>
        <v>1144.98</v>
      </c>
      <c r="J16" s="8">
        <f>+I16*0.05</f>
        <v>57.249000000000002</v>
      </c>
      <c r="K16" s="8">
        <f>+I16*0.09975</f>
        <v>114.21175500000001</v>
      </c>
      <c r="L16" s="8">
        <f>SUM(I16:K16)</f>
        <v>1316.4407550000001</v>
      </c>
      <c r="M16" s="90">
        <v>1316.4407550000001</v>
      </c>
      <c r="N16" s="162">
        <f>+L16-M16</f>
        <v>0</v>
      </c>
      <c r="O16" s="5"/>
      <c r="P16" s="112">
        <v>732.45</v>
      </c>
      <c r="Q16" s="50">
        <v>10.75</v>
      </c>
      <c r="R16" s="165"/>
    </row>
    <row r="17" spans="1:18" ht="17.25" customHeight="1" x14ac:dyDescent="0.2">
      <c r="A17" s="25">
        <v>44448</v>
      </c>
      <c r="B17" s="52" t="s">
        <v>37</v>
      </c>
      <c r="C17" s="10" t="s">
        <v>132</v>
      </c>
      <c r="D17" s="56">
        <v>5</v>
      </c>
      <c r="E17" s="63">
        <f>5.75+1+12.5</f>
        <v>19.25</v>
      </c>
      <c r="F17" s="11">
        <v>625</v>
      </c>
      <c r="G17" s="11">
        <f>1878.53-F17</f>
        <v>1253.53</v>
      </c>
      <c r="H17" s="158"/>
      <c r="I17" s="20">
        <f t="shared" si="5"/>
        <v>1878.53</v>
      </c>
      <c r="J17" s="8">
        <f t="shared" si="6"/>
        <v>93.926500000000004</v>
      </c>
      <c r="K17" s="8">
        <f t="shared" si="7"/>
        <v>187.38336750000002</v>
      </c>
      <c r="L17" s="8">
        <f t="shared" si="8"/>
        <v>2159.8398674999999</v>
      </c>
      <c r="M17" s="90">
        <v>2159.8398674999999</v>
      </c>
      <c r="N17" s="162">
        <f t="shared" ref="N17:N32" si="9">+L17-M17</f>
        <v>0</v>
      </c>
      <c r="O17" s="5">
        <v>145500</v>
      </c>
      <c r="P17" s="112">
        <v>1756.75</v>
      </c>
      <c r="Q17" s="50">
        <v>10.75</v>
      </c>
      <c r="R17" s="165"/>
    </row>
    <row r="18" spans="1:18" ht="17.25" customHeight="1" x14ac:dyDescent="0.2">
      <c r="A18" s="25">
        <v>44482</v>
      </c>
      <c r="B18" s="52" t="s">
        <v>137</v>
      </c>
      <c r="C18" s="10" t="s">
        <v>138</v>
      </c>
      <c r="D18" s="56">
        <f>6+2</f>
        <v>8</v>
      </c>
      <c r="E18" s="63">
        <f>1+0.5+7.5+9.75+20</f>
        <v>38.75</v>
      </c>
      <c r="F18" s="11">
        <f>750+300</f>
        <v>1050</v>
      </c>
      <c r="G18" s="11">
        <f>3734.23-F18</f>
        <v>2684.23</v>
      </c>
      <c r="H18" s="158"/>
      <c r="I18" s="20">
        <f t="shared" si="5"/>
        <v>3734.23</v>
      </c>
      <c r="J18" s="8">
        <f t="shared" si="6"/>
        <v>186.7115</v>
      </c>
      <c r="K18" s="8">
        <f t="shared" si="7"/>
        <v>372.4894425</v>
      </c>
      <c r="L18" s="8">
        <f t="shared" si="8"/>
        <v>4293.4309425000001</v>
      </c>
      <c r="M18" s="90">
        <v>4293.4309425000001</v>
      </c>
      <c r="N18" s="162">
        <f t="shared" si="9"/>
        <v>0</v>
      </c>
      <c r="P18" s="112">
        <v>2175.73</v>
      </c>
      <c r="Q18" s="50">
        <v>0</v>
      </c>
      <c r="R18" s="165"/>
    </row>
    <row r="19" spans="1:18" ht="17.25" customHeight="1" x14ac:dyDescent="0.2">
      <c r="A19" s="25">
        <v>44503</v>
      </c>
      <c r="B19" s="52" t="s">
        <v>65</v>
      </c>
      <c r="C19" s="10" t="s">
        <v>143</v>
      </c>
      <c r="D19" s="56">
        <v>2</v>
      </c>
      <c r="E19" s="63">
        <f>1+9+22</f>
        <v>32</v>
      </c>
      <c r="F19" s="11">
        <v>125</v>
      </c>
      <c r="G19" s="11">
        <f>2335.25-F19</f>
        <v>2210.25</v>
      </c>
      <c r="H19" s="158"/>
      <c r="I19" s="20">
        <f t="shared" si="5"/>
        <v>2335.25</v>
      </c>
      <c r="J19" s="8">
        <f t="shared" si="6"/>
        <v>116.7625</v>
      </c>
      <c r="K19" s="8">
        <f t="shared" si="7"/>
        <v>232.94118750000001</v>
      </c>
      <c r="L19" s="8">
        <f>SUM(I19:K19)</f>
        <v>2684.9536874999999</v>
      </c>
      <c r="M19" s="90">
        <v>2684.9536874999999</v>
      </c>
      <c r="N19" s="162">
        <f t="shared" si="9"/>
        <v>0</v>
      </c>
      <c r="O19" s="5"/>
      <c r="P19" s="112">
        <v>1317.28</v>
      </c>
      <c r="Q19" s="50">
        <v>0</v>
      </c>
      <c r="R19" s="165"/>
    </row>
    <row r="20" spans="1:18" ht="17.25" customHeight="1" x14ac:dyDescent="0.2">
      <c r="A20" s="25">
        <v>44536</v>
      </c>
      <c r="B20" s="52" t="s">
        <v>147</v>
      </c>
      <c r="C20" s="10" t="s">
        <v>148</v>
      </c>
      <c r="D20" s="56">
        <v>3.25</v>
      </c>
      <c r="E20" s="63">
        <f>5.25+1+11</f>
        <v>17.25</v>
      </c>
      <c r="F20" s="11">
        <v>406.25</v>
      </c>
      <c r="G20" s="11">
        <f>6538.03-F20</f>
        <v>6131.78</v>
      </c>
      <c r="H20" s="158"/>
      <c r="I20" s="20">
        <f>SUM(F20:H20)</f>
        <v>6538.03</v>
      </c>
      <c r="J20" s="8">
        <f t="shared" si="6"/>
        <v>326.9015</v>
      </c>
      <c r="K20" s="8">
        <f t="shared" si="7"/>
        <v>652.16849249999996</v>
      </c>
      <c r="L20" s="8">
        <f t="shared" si="8"/>
        <v>7517.0999924999996</v>
      </c>
      <c r="M20" s="90">
        <v>7517.0999924999996</v>
      </c>
      <c r="N20" s="162">
        <f t="shared" si="9"/>
        <v>0</v>
      </c>
      <c r="O20" s="5"/>
      <c r="P20" s="112">
        <v>1994.64</v>
      </c>
      <c r="Q20" s="50">
        <v>0</v>
      </c>
      <c r="R20" s="165"/>
    </row>
    <row r="21" spans="1:18" ht="17.25" customHeight="1" x14ac:dyDescent="0.2">
      <c r="A21" s="25">
        <v>44568</v>
      </c>
      <c r="B21" s="52" t="s">
        <v>82</v>
      </c>
      <c r="C21" s="10" t="s">
        <v>152</v>
      </c>
      <c r="D21" s="56">
        <f>4+1</f>
        <v>5</v>
      </c>
      <c r="E21" s="63">
        <f>11+4.5+4.25+1+11</f>
        <v>31.75</v>
      </c>
      <c r="F21" s="11">
        <f>500+150</f>
        <v>650</v>
      </c>
      <c r="G21" s="11">
        <f>3126.18-F21</f>
        <v>2476.1799999999998</v>
      </c>
      <c r="H21" s="158"/>
      <c r="I21" s="20">
        <f t="shared" si="5"/>
        <v>3126.18</v>
      </c>
      <c r="J21" s="8">
        <f t="shared" si="6"/>
        <v>156.309</v>
      </c>
      <c r="K21" s="8">
        <f>+I21*0.09975-0.01</f>
        <v>311.82645500000001</v>
      </c>
      <c r="L21" s="8">
        <f t="shared" si="8"/>
        <v>3594.3154549999999</v>
      </c>
      <c r="M21" s="90">
        <v>3594.3154549999999</v>
      </c>
      <c r="N21" s="162">
        <f t="shared" si="9"/>
        <v>0</v>
      </c>
      <c r="O21" s="5"/>
      <c r="P21" s="112"/>
      <c r="R21" s="165"/>
    </row>
    <row r="22" spans="1:18" ht="17.25" customHeight="1" x14ac:dyDescent="0.2">
      <c r="A22" s="25">
        <v>44610</v>
      </c>
      <c r="B22" s="52" t="s">
        <v>204</v>
      </c>
      <c r="C22" s="10" t="s">
        <v>201</v>
      </c>
      <c r="D22" s="56">
        <f>4+0.5</f>
        <v>4.5</v>
      </c>
      <c r="E22" s="63">
        <f>62.5+9.75+17</f>
        <v>89.25</v>
      </c>
      <c r="F22" s="11">
        <f>500+62.5</f>
        <v>562.5</v>
      </c>
      <c r="G22" s="11">
        <f>6928.21-F22</f>
        <v>6365.71</v>
      </c>
      <c r="H22" s="158"/>
      <c r="I22" s="20">
        <f t="shared" si="5"/>
        <v>6928.21</v>
      </c>
      <c r="J22" s="8">
        <f t="shared" si="6"/>
        <v>346.41050000000001</v>
      </c>
      <c r="K22" s="8">
        <f t="shared" si="7"/>
        <v>691.08894750000002</v>
      </c>
      <c r="L22" s="8">
        <f t="shared" si="8"/>
        <v>7965.7094475000004</v>
      </c>
      <c r="M22" s="90">
        <v>7965.7094475000004</v>
      </c>
      <c r="N22" s="162">
        <f t="shared" si="9"/>
        <v>0</v>
      </c>
      <c r="O22" s="5"/>
      <c r="P22" s="112"/>
      <c r="R22" s="165"/>
    </row>
    <row r="23" spans="1:18" ht="17.25" customHeight="1" x14ac:dyDescent="0.2">
      <c r="A23" s="25">
        <v>44629</v>
      </c>
      <c r="B23" s="52" t="s">
        <v>206</v>
      </c>
      <c r="C23" s="10" t="s">
        <v>202</v>
      </c>
      <c r="D23" s="56">
        <v>3</v>
      </c>
      <c r="E23" s="63">
        <f>21+14.75+9.5+12</f>
        <v>57.25</v>
      </c>
      <c r="F23" s="11">
        <v>375</v>
      </c>
      <c r="G23" s="11">
        <f>4002.81-F23</f>
        <v>3627.81</v>
      </c>
      <c r="H23" s="158"/>
      <c r="I23" s="20">
        <f t="shared" si="5"/>
        <v>4002.81</v>
      </c>
      <c r="J23" s="8">
        <f t="shared" si="6"/>
        <v>200.1405</v>
      </c>
      <c r="K23" s="8">
        <f t="shared" si="7"/>
        <v>399.28029750000002</v>
      </c>
      <c r="L23" s="8">
        <f t="shared" si="8"/>
        <v>4602.2307975000003</v>
      </c>
      <c r="M23" s="90">
        <v>4602.2307975000003</v>
      </c>
      <c r="N23" s="162">
        <f t="shared" si="9"/>
        <v>0</v>
      </c>
      <c r="O23" s="5"/>
      <c r="P23" s="112"/>
      <c r="R23" s="165"/>
    </row>
    <row r="24" spans="1:18" ht="17.25" customHeight="1" x14ac:dyDescent="0.2">
      <c r="A24" s="25">
        <v>44664</v>
      </c>
      <c r="B24" s="52" t="s">
        <v>212</v>
      </c>
      <c r="C24" s="10" t="s">
        <v>203</v>
      </c>
      <c r="D24" s="56">
        <v>5</v>
      </c>
      <c r="E24" s="63">
        <f>68+6.25+0.5+104.75+18.5</f>
        <v>198</v>
      </c>
      <c r="F24" s="11">
        <v>625</v>
      </c>
      <c r="G24" s="11">
        <f>12361.55-F24</f>
        <v>11736.55</v>
      </c>
      <c r="H24" s="158"/>
      <c r="I24" s="20">
        <f t="shared" si="5"/>
        <v>12361.55</v>
      </c>
      <c r="J24" s="8">
        <f t="shared" si="6"/>
        <v>618.07749999999999</v>
      </c>
      <c r="K24" s="8">
        <f t="shared" si="7"/>
        <v>1233.0646125000001</v>
      </c>
      <c r="L24" s="8">
        <f t="shared" si="8"/>
        <v>14212.692112499999</v>
      </c>
      <c r="M24" s="90">
        <v>14212.692112499999</v>
      </c>
      <c r="N24" s="162">
        <f t="shared" si="9"/>
        <v>0</v>
      </c>
      <c r="O24" s="5"/>
      <c r="P24" s="112"/>
      <c r="R24" s="165"/>
    </row>
    <row r="25" spans="1:18" ht="17.25" customHeight="1" x14ac:dyDescent="0.2">
      <c r="A25" s="25">
        <v>44717</v>
      </c>
      <c r="B25" s="52" t="s">
        <v>219</v>
      </c>
      <c r="C25" s="10" t="s">
        <v>217</v>
      </c>
      <c r="D25" s="56">
        <v>4</v>
      </c>
      <c r="E25" s="63">
        <f>6.5+5.75+1+41+21</f>
        <v>75.25</v>
      </c>
      <c r="F25" s="11">
        <v>500</v>
      </c>
      <c r="G25" s="11">
        <f>5564.21-F25</f>
        <v>5064.21</v>
      </c>
      <c r="H25" s="158"/>
      <c r="I25" s="20">
        <f t="shared" si="5"/>
        <v>5564.21</v>
      </c>
      <c r="J25" s="8">
        <f t="shared" si="6"/>
        <v>278.21050000000002</v>
      </c>
      <c r="K25" s="8">
        <f t="shared" si="7"/>
        <v>555.02994750000005</v>
      </c>
      <c r="L25" s="8">
        <f t="shared" si="8"/>
        <v>6397.4504475000003</v>
      </c>
      <c r="M25" s="90">
        <v>6397.4504475000003</v>
      </c>
      <c r="N25" s="162">
        <f>+L25-M25</f>
        <v>0</v>
      </c>
      <c r="O25" s="5"/>
      <c r="P25" s="112"/>
      <c r="R25" s="165"/>
    </row>
    <row r="26" spans="1:18" ht="17.25" customHeight="1" x14ac:dyDescent="0.2">
      <c r="A26" s="25">
        <v>44721</v>
      </c>
      <c r="B26" s="52" t="s">
        <v>222</v>
      </c>
      <c r="C26" s="10" t="s">
        <v>218</v>
      </c>
      <c r="D26" s="56">
        <f>4+10.75</f>
        <v>14.75</v>
      </c>
      <c r="E26" s="63">
        <f>7.25+33+4.5+2.5+58+0.5+28.5+4</f>
        <v>138.25</v>
      </c>
      <c r="F26" s="11">
        <f>500+1343.75</f>
        <v>1843.75</v>
      </c>
      <c r="G26" s="11">
        <f>11296.98-F26</f>
        <v>9453.23</v>
      </c>
      <c r="H26" s="158"/>
      <c r="I26" s="20">
        <f t="shared" si="5"/>
        <v>11296.98</v>
      </c>
      <c r="J26" s="8">
        <f t="shared" si="6"/>
        <v>564.84900000000005</v>
      </c>
      <c r="K26" s="8">
        <f t="shared" si="7"/>
        <v>1126.8737550000001</v>
      </c>
      <c r="L26" s="8">
        <f t="shared" si="8"/>
        <v>12988.702755</v>
      </c>
      <c r="M26" s="90">
        <v>12988.702755</v>
      </c>
      <c r="N26" s="162">
        <f t="shared" si="9"/>
        <v>0</v>
      </c>
      <c r="O26" s="5"/>
      <c r="P26" s="112"/>
      <c r="R26" s="165"/>
    </row>
    <row r="27" spans="1:18" ht="17.25" customHeight="1" x14ac:dyDescent="0.2">
      <c r="A27" s="25">
        <v>44757</v>
      </c>
      <c r="B27" s="52" t="s">
        <v>235</v>
      </c>
      <c r="C27" s="10" t="s">
        <v>237</v>
      </c>
      <c r="D27" s="56">
        <f>6.5+17</f>
        <v>23.5</v>
      </c>
      <c r="E27" s="63">
        <v>173.4</v>
      </c>
      <c r="F27" s="11">
        <f>812.5+2125</f>
        <v>2937.5</v>
      </c>
      <c r="G27" s="11">
        <f>14221.14-F27</f>
        <v>11283.64</v>
      </c>
      <c r="H27" s="158">
        <v>289.05</v>
      </c>
      <c r="I27" s="20">
        <f t="shared" si="5"/>
        <v>14510.189999999999</v>
      </c>
      <c r="J27" s="8">
        <v>725.52</v>
      </c>
      <c r="K27" s="8">
        <v>1447.38</v>
      </c>
      <c r="L27" s="8">
        <f t="shared" si="8"/>
        <v>16683.09</v>
      </c>
      <c r="M27" s="90">
        <v>16683.09</v>
      </c>
      <c r="N27" s="162">
        <f t="shared" si="9"/>
        <v>0</v>
      </c>
      <c r="O27" s="5"/>
      <c r="P27" s="112"/>
      <c r="R27" s="165"/>
    </row>
    <row r="28" spans="1:18" ht="17.25" customHeight="1" x14ac:dyDescent="0.2">
      <c r="A28" s="25">
        <v>44803</v>
      </c>
      <c r="B28" s="52" t="s">
        <v>244</v>
      </c>
      <c r="C28" s="10" t="s">
        <v>243</v>
      </c>
      <c r="D28" s="56">
        <v>3</v>
      </c>
      <c r="E28" s="63">
        <f>81.5-3</f>
        <v>78.5</v>
      </c>
      <c r="F28" s="11">
        <v>375</v>
      </c>
      <c r="G28" s="11">
        <f>5424.83-F28+208.06</f>
        <v>5257.89</v>
      </c>
      <c r="H28" s="158"/>
      <c r="I28" s="20">
        <f t="shared" si="5"/>
        <v>5632.89</v>
      </c>
      <c r="J28" s="8">
        <f t="shared" si="6"/>
        <v>281.64450000000005</v>
      </c>
      <c r="K28" s="8">
        <v>561.88</v>
      </c>
      <c r="L28" s="8">
        <f t="shared" si="8"/>
        <v>6476.4145000000008</v>
      </c>
      <c r="M28" s="90">
        <v>6476.4145000000008</v>
      </c>
      <c r="N28" s="162">
        <f t="shared" si="9"/>
        <v>0</v>
      </c>
      <c r="O28" s="5"/>
      <c r="P28" s="112"/>
      <c r="R28" s="165"/>
    </row>
    <row r="29" spans="1:18" ht="17.25" customHeight="1" x14ac:dyDescent="0.2">
      <c r="A29" s="25">
        <v>44826</v>
      </c>
      <c r="B29" s="52" t="s">
        <v>248</v>
      </c>
      <c r="C29" s="10" t="s">
        <v>252</v>
      </c>
      <c r="D29" s="56">
        <v>3</v>
      </c>
      <c r="E29" s="63">
        <f>175.25-D29+22.25</f>
        <v>194.5</v>
      </c>
      <c r="F29" s="11">
        <v>375</v>
      </c>
      <c r="G29" s="11">
        <f>12040.01-F29+964.25</f>
        <v>12629.26</v>
      </c>
      <c r="H29" s="158">
        <v>88.92</v>
      </c>
      <c r="I29" s="20">
        <f t="shared" si="5"/>
        <v>13093.18</v>
      </c>
      <c r="J29" s="8">
        <f t="shared" si="6"/>
        <v>654.65900000000011</v>
      </c>
      <c r="K29" s="8">
        <f t="shared" si="7"/>
        <v>1306.044705</v>
      </c>
      <c r="L29" s="8">
        <f t="shared" si="8"/>
        <v>15053.883705</v>
      </c>
      <c r="M29" s="90">
        <v>15053.883705</v>
      </c>
      <c r="N29" s="162">
        <f t="shared" si="9"/>
        <v>0</v>
      </c>
      <c r="O29" s="5"/>
      <c r="P29" s="113"/>
      <c r="R29" s="165"/>
    </row>
    <row r="30" spans="1:18" ht="17.25" customHeight="1" x14ac:dyDescent="0.2">
      <c r="A30" s="25">
        <v>44841</v>
      </c>
      <c r="B30" s="52" t="s">
        <v>261</v>
      </c>
      <c r="C30" s="10" t="s">
        <v>260</v>
      </c>
      <c r="D30" s="56">
        <v>5.5</v>
      </c>
      <c r="E30" s="63">
        <f>128.25-D30+28.75+11</f>
        <v>162.5</v>
      </c>
      <c r="F30" s="11">
        <f>625+62.5</f>
        <v>687.5</v>
      </c>
      <c r="G30" s="11">
        <f>9085.03-F30+2066.73</f>
        <v>10464.26</v>
      </c>
      <c r="H30" s="158">
        <f>81.16+75.49</f>
        <v>156.64999999999998</v>
      </c>
      <c r="I30" s="20">
        <f t="shared" si="5"/>
        <v>11308.41</v>
      </c>
      <c r="J30" s="8">
        <f t="shared" si="6"/>
        <v>565.42050000000006</v>
      </c>
      <c r="K30" s="8">
        <v>1128.02</v>
      </c>
      <c r="L30" s="8">
        <f t="shared" si="8"/>
        <v>13001.8505</v>
      </c>
      <c r="M30" s="90">
        <v>13001.8505</v>
      </c>
      <c r="N30" s="162">
        <f t="shared" si="9"/>
        <v>0</v>
      </c>
      <c r="O30" s="5"/>
      <c r="P30" s="113"/>
      <c r="R30" s="165"/>
    </row>
    <row r="31" spans="1:18" ht="16.5" customHeight="1" x14ac:dyDescent="0.2">
      <c r="A31" s="25">
        <v>44871</v>
      </c>
      <c r="B31" s="52" t="s">
        <v>268</v>
      </c>
      <c r="C31" s="10" t="s">
        <v>267</v>
      </c>
      <c r="D31" s="56">
        <v>5</v>
      </c>
      <c r="E31" s="63">
        <f>2.5+11.5+52+2.5+14+12</f>
        <v>94.5</v>
      </c>
      <c r="F31" s="11">
        <v>625</v>
      </c>
      <c r="G31" s="11">
        <f>6213.38-F31+478.8</f>
        <v>6067.18</v>
      </c>
      <c r="H31" s="158"/>
      <c r="I31" s="20">
        <f>SUM(F31:H31)</f>
        <v>6692.18</v>
      </c>
      <c r="J31" s="8">
        <f t="shared" si="6"/>
        <v>334.60900000000004</v>
      </c>
      <c r="K31" s="8">
        <f t="shared" si="7"/>
        <v>667.54495500000007</v>
      </c>
      <c r="L31" s="8">
        <f t="shared" si="8"/>
        <v>7694.333955000001</v>
      </c>
      <c r="M31" s="90">
        <v>7694.333955000001</v>
      </c>
      <c r="N31" s="162">
        <f t="shared" si="9"/>
        <v>0</v>
      </c>
      <c r="O31" s="5"/>
      <c r="P31" s="113"/>
      <c r="R31" s="165"/>
    </row>
    <row r="32" spans="1:18" ht="16.5" customHeight="1" x14ac:dyDescent="0.2">
      <c r="A32" s="25">
        <v>44898</v>
      </c>
      <c r="B32" s="52" t="s">
        <v>280</v>
      </c>
      <c r="C32" s="10" t="s">
        <v>279</v>
      </c>
      <c r="D32" s="56">
        <v>4</v>
      </c>
      <c r="E32" s="63">
        <f>12+1.5+43.5+6.75+4+3.5</f>
        <v>71.25</v>
      </c>
      <c r="F32" s="11">
        <f>375+150</f>
        <v>525</v>
      </c>
      <c r="G32" s="11">
        <f>4830.4-F32-14.25+216.13</f>
        <v>4507.28</v>
      </c>
      <c r="H32" s="158"/>
      <c r="I32" s="20">
        <f>SUM(F32:H32)</f>
        <v>5032.28</v>
      </c>
      <c r="J32" s="8">
        <v>251.62</v>
      </c>
      <c r="K32" s="8">
        <f t="shared" ref="K32" si="10">+I32*0.09975</f>
        <v>501.96992999999998</v>
      </c>
      <c r="L32" s="8">
        <f t="shared" ref="L32" si="11">SUM(I32:K32)</f>
        <v>5785.8699299999998</v>
      </c>
      <c r="M32" s="90">
        <v>5785.8699299999998</v>
      </c>
      <c r="N32" s="162">
        <f t="shared" si="9"/>
        <v>0</v>
      </c>
      <c r="O32" s="5"/>
      <c r="P32" s="113"/>
      <c r="R32" s="165"/>
    </row>
    <row r="33" spans="1:18" ht="16.5" customHeight="1" x14ac:dyDescent="0.2">
      <c r="A33" s="25">
        <v>44939</v>
      </c>
      <c r="B33" s="52" t="s">
        <v>283</v>
      </c>
      <c r="C33" s="10" t="s">
        <v>287</v>
      </c>
      <c r="D33" s="56">
        <v>5</v>
      </c>
      <c r="E33" s="63">
        <f>83.75-D33+8.25</f>
        <v>87</v>
      </c>
      <c r="F33" s="11">
        <v>625</v>
      </c>
      <c r="G33" s="11">
        <f>5599.2-F33+329.18</f>
        <v>5303.38</v>
      </c>
      <c r="H33" s="158"/>
      <c r="I33" s="20">
        <f>SUM(F33:H33)</f>
        <v>5928.38</v>
      </c>
      <c r="J33" s="8">
        <v>296.42</v>
      </c>
      <c r="K33" s="8">
        <f t="shared" ref="K33" si="12">+I33*0.09975</f>
        <v>591.35590500000001</v>
      </c>
      <c r="L33" s="8">
        <f t="shared" ref="L33:L34" si="13">SUM(I33:K33)</f>
        <v>6816.1559050000005</v>
      </c>
      <c r="M33" s="90">
        <v>6816.1559050000005</v>
      </c>
      <c r="N33" s="162">
        <f t="shared" ref="N33:N35" si="14">+L33-M33</f>
        <v>0</v>
      </c>
      <c r="O33" s="5"/>
      <c r="P33" s="113"/>
      <c r="R33" s="165"/>
    </row>
    <row r="34" spans="1:18" ht="16.5" customHeight="1" x14ac:dyDescent="0.2">
      <c r="A34" s="25">
        <v>44967</v>
      </c>
      <c r="B34" s="52" t="s">
        <v>295</v>
      </c>
      <c r="C34" s="10" t="s">
        <v>296</v>
      </c>
      <c r="D34" s="56">
        <v>4</v>
      </c>
      <c r="E34" s="63">
        <f>46.5-D34</f>
        <v>42.5</v>
      </c>
      <c r="F34" s="11">
        <v>500</v>
      </c>
      <c r="G34" s="11">
        <f>3471.13-F34</f>
        <v>2971.13</v>
      </c>
      <c r="H34" s="158"/>
      <c r="I34" s="20">
        <f t="shared" ref="I34" si="15">SUM(F34:H34)</f>
        <v>3471.13</v>
      </c>
      <c r="J34" s="8">
        <f t="shared" ref="J34" si="16">+I34*0.05</f>
        <v>173.55650000000003</v>
      </c>
      <c r="K34" s="8">
        <v>346.24</v>
      </c>
      <c r="L34" s="8">
        <f t="shared" si="13"/>
        <v>3990.9265000000005</v>
      </c>
      <c r="M34" s="90">
        <v>3990.9265000000005</v>
      </c>
      <c r="N34" s="162">
        <f t="shared" si="14"/>
        <v>0</v>
      </c>
      <c r="O34" s="5"/>
      <c r="P34" s="113"/>
      <c r="R34" s="165"/>
    </row>
    <row r="35" spans="1:18" ht="16.5" customHeight="1" x14ac:dyDescent="0.2">
      <c r="A35" s="25">
        <v>45000</v>
      </c>
      <c r="B35" s="52" t="s">
        <v>302</v>
      </c>
      <c r="C35" s="10" t="s">
        <v>305</v>
      </c>
      <c r="D35" s="56">
        <v>5</v>
      </c>
      <c r="E35" s="63">
        <f>118.75-D35</f>
        <v>113.75</v>
      </c>
      <c r="F35" s="11">
        <f t="shared" ref="F35:F68" si="17">+D35*125</f>
        <v>625</v>
      </c>
      <c r="G35" s="11">
        <f>7400.78-F35</f>
        <v>6775.78</v>
      </c>
      <c r="H35" s="158"/>
      <c r="I35" s="20">
        <f t="shared" ref="I35" si="18">SUM(F35:H35)</f>
        <v>7400.78</v>
      </c>
      <c r="J35" s="8">
        <f t="shared" ref="J35" si="19">+I35*0.05</f>
        <v>370.03899999999999</v>
      </c>
      <c r="K35" s="8">
        <f t="shared" si="7"/>
        <v>738.22780499999999</v>
      </c>
      <c r="L35" s="8">
        <f t="shared" ref="L35" si="20">SUM(I35:K35)</f>
        <v>8509.0468049999999</v>
      </c>
      <c r="M35" s="90">
        <v>8509.0468049999999</v>
      </c>
      <c r="N35" s="162">
        <f t="shared" si="14"/>
        <v>0</v>
      </c>
      <c r="O35" s="5"/>
      <c r="P35" s="113"/>
      <c r="R35" s="165"/>
    </row>
    <row r="36" spans="1:18" ht="16.5" customHeight="1" x14ac:dyDescent="0.2">
      <c r="A36" s="25">
        <v>45026</v>
      </c>
      <c r="B36" s="52" t="s">
        <v>307</v>
      </c>
      <c r="C36" s="10" t="s">
        <v>308</v>
      </c>
      <c r="D36" s="56">
        <v>6.5</v>
      </c>
      <c r="E36" s="63">
        <f>249.5-D36</f>
        <v>243</v>
      </c>
      <c r="F36" s="11">
        <f t="shared" si="17"/>
        <v>812.5</v>
      </c>
      <c r="G36" s="11">
        <f>14901.85-F36</f>
        <v>14089.35</v>
      </c>
      <c r="H36" s="158"/>
      <c r="I36" s="20">
        <f t="shared" ref="I36" si="21">SUM(F36:H36)</f>
        <v>14901.85</v>
      </c>
      <c r="J36" s="8">
        <f t="shared" ref="J36" si="22">+I36*0.05</f>
        <v>745.09250000000009</v>
      </c>
      <c r="K36" s="8">
        <f t="shared" ref="K36" si="23">+I36*0.09975</f>
        <v>1486.4595375000001</v>
      </c>
      <c r="L36" s="8">
        <f t="shared" ref="L36" si="24">SUM(I36:K36)</f>
        <v>17133.4020375</v>
      </c>
      <c r="M36" s="90">
        <v>17133.4020375</v>
      </c>
      <c r="N36" s="162">
        <f t="shared" ref="N36" si="25">+L36-M36</f>
        <v>0</v>
      </c>
      <c r="O36" s="5"/>
      <c r="P36" s="113"/>
      <c r="R36" s="165"/>
    </row>
    <row r="37" spans="1:18" ht="16.5" customHeight="1" x14ac:dyDescent="0.2">
      <c r="A37" s="25">
        <v>45072</v>
      </c>
      <c r="B37" s="52" t="s">
        <v>313</v>
      </c>
      <c r="C37" s="10" t="s">
        <v>330</v>
      </c>
      <c r="D37" s="56">
        <v>4</v>
      </c>
      <c r="E37" s="63">
        <f>99-D37+3</f>
        <v>98</v>
      </c>
      <c r="F37" s="11">
        <f t="shared" si="17"/>
        <v>500</v>
      </c>
      <c r="G37" s="11">
        <f>6445.93-F37+174.8</f>
        <v>6120.7300000000005</v>
      </c>
      <c r="H37" s="158">
        <f>100.48+172.96+9.7-5.43</f>
        <v>277.70999999999998</v>
      </c>
      <c r="I37" s="20">
        <f t="shared" ref="I37:I42" si="26">SUM(F37:H37)</f>
        <v>6898.4400000000005</v>
      </c>
      <c r="J37" s="8">
        <f>+I37*0.05+0.005</f>
        <v>344.92700000000002</v>
      </c>
      <c r="K37" s="8">
        <f t="shared" ref="K37:K42" si="27">+I37*0.09975</f>
        <v>688.11939000000007</v>
      </c>
      <c r="L37" s="8">
        <f t="shared" ref="L37:L42" si="28">SUM(I37:K37)</f>
        <v>7931.48639</v>
      </c>
      <c r="M37" s="90">
        <v>7931.48639</v>
      </c>
      <c r="N37" s="162">
        <f t="shared" ref="N37:N42" si="29">+L37-M37</f>
        <v>0</v>
      </c>
      <c r="O37" s="5"/>
      <c r="P37" s="113"/>
      <c r="R37" s="165"/>
    </row>
    <row r="38" spans="1:18" ht="16.5" customHeight="1" x14ac:dyDescent="0.2">
      <c r="A38" s="25">
        <v>45091</v>
      </c>
      <c r="B38" s="52" t="s">
        <v>320</v>
      </c>
      <c r="C38" s="10" t="s">
        <v>331</v>
      </c>
      <c r="D38" s="56">
        <v>4</v>
      </c>
      <c r="E38" s="63">
        <f>318.5-D38</f>
        <v>314.5</v>
      </c>
      <c r="F38" s="11">
        <f t="shared" si="17"/>
        <v>500</v>
      </c>
      <c r="G38" s="11">
        <f>20252.33-F38</f>
        <v>19752.330000000002</v>
      </c>
      <c r="H38" s="158">
        <v>88.4</v>
      </c>
      <c r="I38" s="20">
        <f t="shared" si="26"/>
        <v>20340.730000000003</v>
      </c>
      <c r="J38" s="8">
        <f t="shared" ref="J38:J42" si="30">+I38*0.05</f>
        <v>1017.0365000000002</v>
      </c>
      <c r="K38" s="8">
        <f>+I38*0.09975-0.005</f>
        <v>2028.9828175000002</v>
      </c>
      <c r="L38" s="8">
        <f t="shared" si="28"/>
        <v>23386.749317500005</v>
      </c>
      <c r="M38" s="90">
        <v>23386.749317500005</v>
      </c>
      <c r="N38" s="162">
        <f t="shared" si="29"/>
        <v>0</v>
      </c>
      <c r="O38" s="5"/>
      <c r="P38" s="113"/>
      <c r="R38" s="165"/>
    </row>
    <row r="39" spans="1:18" ht="16.5" customHeight="1" x14ac:dyDescent="0.2">
      <c r="A39" s="25">
        <v>45163</v>
      </c>
      <c r="B39" s="52" t="s">
        <v>347</v>
      </c>
      <c r="C39" s="10" t="s">
        <v>349</v>
      </c>
      <c r="D39" s="56">
        <v>0.5</v>
      </c>
      <c r="E39" s="63">
        <f>1384.5-D39</f>
        <v>1384</v>
      </c>
      <c r="F39" s="11">
        <f t="shared" si="17"/>
        <v>62.5</v>
      </c>
      <c r="G39" s="11">
        <f>97320.85-F39</f>
        <v>97258.35</v>
      </c>
      <c r="H39" s="158"/>
      <c r="I39" s="20">
        <f t="shared" ref="I39:I40" si="31">SUM(F39:H39)</f>
        <v>97320.85</v>
      </c>
      <c r="J39" s="8">
        <f t="shared" ref="J39:J40" si="32">+I39*0.05</f>
        <v>4866.0425000000005</v>
      </c>
      <c r="K39" s="8">
        <f>+I39*0.09975+0.001</f>
        <v>9707.755787500002</v>
      </c>
      <c r="L39" s="8">
        <f t="shared" ref="L39:L40" si="33">SUM(I39:K39)</f>
        <v>111894.64828750001</v>
      </c>
      <c r="M39" s="90">
        <v>111894.64828750001</v>
      </c>
      <c r="N39" s="162">
        <f t="shared" ref="N39:N40" si="34">+L39-M39</f>
        <v>0</v>
      </c>
      <c r="O39" s="5"/>
      <c r="P39" s="113"/>
      <c r="R39" s="165"/>
    </row>
    <row r="40" spans="1:18" ht="16.5" customHeight="1" x14ac:dyDescent="0.2">
      <c r="A40" s="25">
        <v>45163</v>
      </c>
      <c r="B40" s="52" t="s">
        <v>348</v>
      </c>
      <c r="C40" s="10" t="s">
        <v>350</v>
      </c>
      <c r="D40" s="56">
        <v>0.5</v>
      </c>
      <c r="E40" s="63">
        <f>1970-D40</f>
        <v>1969.5</v>
      </c>
      <c r="F40" s="11">
        <f t="shared" si="17"/>
        <v>62.5</v>
      </c>
      <c r="G40" s="11">
        <f>129969.13-F40</f>
        <v>129906.63</v>
      </c>
      <c r="H40" s="158"/>
      <c r="I40" s="20">
        <f t="shared" si="31"/>
        <v>129969.13</v>
      </c>
      <c r="J40" s="8">
        <f t="shared" si="32"/>
        <v>6498.4565000000002</v>
      </c>
      <c r="K40" s="8">
        <f>+I40*0.09975</f>
        <v>12964.420717500001</v>
      </c>
      <c r="L40" s="8">
        <f t="shared" si="33"/>
        <v>149432.00721750001</v>
      </c>
      <c r="M40" s="90">
        <v>149432.00721750001</v>
      </c>
      <c r="N40" s="162">
        <f t="shared" si="34"/>
        <v>0</v>
      </c>
      <c r="O40" s="5"/>
      <c r="P40" s="113"/>
      <c r="R40" s="165"/>
    </row>
    <row r="41" spans="1:18" ht="16.5" customHeight="1" x14ac:dyDescent="0.2">
      <c r="A41" s="25">
        <v>45163</v>
      </c>
      <c r="B41" s="52" t="s">
        <v>327</v>
      </c>
      <c r="C41" s="10" t="s">
        <v>351</v>
      </c>
      <c r="D41" s="56">
        <v>4</v>
      </c>
      <c r="E41" s="63">
        <f>552.5-D41</f>
        <v>548.5</v>
      </c>
      <c r="F41" s="11">
        <f t="shared" si="17"/>
        <v>500</v>
      </c>
      <c r="G41" s="11">
        <f>38535.31-F41</f>
        <v>38035.31</v>
      </c>
      <c r="H41" s="158">
        <v>339.5</v>
      </c>
      <c r="I41" s="20">
        <f t="shared" si="26"/>
        <v>38874.81</v>
      </c>
      <c r="J41" s="8">
        <f>+I41*0.05+0.005</f>
        <v>1943.7455</v>
      </c>
      <c r="K41" s="8">
        <f t="shared" si="27"/>
        <v>3877.7622974999999</v>
      </c>
      <c r="L41" s="8">
        <f t="shared" si="28"/>
        <v>44696.317797499993</v>
      </c>
      <c r="M41" s="90">
        <v>44696.317797499993</v>
      </c>
      <c r="N41" s="162">
        <f t="shared" si="29"/>
        <v>0</v>
      </c>
      <c r="O41" s="5"/>
      <c r="P41" s="113"/>
      <c r="R41" s="165"/>
    </row>
    <row r="42" spans="1:18" ht="17.25" customHeight="1" x14ac:dyDescent="0.2">
      <c r="A42" s="25">
        <v>45163</v>
      </c>
      <c r="B42" s="52" t="s">
        <v>333</v>
      </c>
      <c r="C42" s="10" t="s">
        <v>353</v>
      </c>
      <c r="D42" s="56">
        <v>4.5</v>
      </c>
      <c r="E42" s="63">
        <f>90.5-D42</f>
        <v>86</v>
      </c>
      <c r="F42" s="11">
        <f t="shared" si="17"/>
        <v>562.5</v>
      </c>
      <c r="G42" s="11">
        <f>6253.17-F42</f>
        <v>5690.67</v>
      </c>
      <c r="H42" s="158">
        <v>83.2</v>
      </c>
      <c r="I42" s="20">
        <f t="shared" si="26"/>
        <v>6336.37</v>
      </c>
      <c r="J42" s="8">
        <f t="shared" si="30"/>
        <v>316.81850000000003</v>
      </c>
      <c r="K42" s="8">
        <f t="shared" si="27"/>
        <v>632.05290750000006</v>
      </c>
      <c r="L42" s="8">
        <f t="shared" si="28"/>
        <v>7285.2414075000006</v>
      </c>
      <c r="M42" s="90">
        <v>7285.2414075000006</v>
      </c>
      <c r="N42" s="162">
        <f t="shared" si="29"/>
        <v>0</v>
      </c>
      <c r="O42" s="5"/>
      <c r="P42" s="113"/>
      <c r="R42" s="165"/>
    </row>
    <row r="43" spans="1:18" ht="17.25" customHeight="1" x14ac:dyDescent="0.2">
      <c r="A43" s="25">
        <v>45182</v>
      </c>
      <c r="B43" s="52" t="s">
        <v>341</v>
      </c>
      <c r="C43" s="10" t="s">
        <v>352</v>
      </c>
      <c r="D43" s="56">
        <v>7</v>
      </c>
      <c r="E43" s="63">
        <f>136-D43</f>
        <v>129</v>
      </c>
      <c r="F43" s="11">
        <f t="shared" si="17"/>
        <v>875</v>
      </c>
      <c r="G43" s="11">
        <f>8734.44-F43</f>
        <v>7859.4400000000005</v>
      </c>
      <c r="H43" s="158"/>
      <c r="I43" s="20">
        <f t="shared" ref="I43:I44" si="35">SUM(F43:H43)</f>
        <v>8734.44</v>
      </c>
      <c r="J43" s="8">
        <f t="shared" ref="J43:J44" si="36">+I43*0.05</f>
        <v>436.72200000000004</v>
      </c>
      <c r="K43" s="8">
        <f t="shared" ref="K43:K44" si="37">+I43*0.09975</f>
        <v>871.26039000000014</v>
      </c>
      <c r="L43" s="8">
        <f t="shared" ref="L43:L44" si="38">SUM(I43:K43)</f>
        <v>10042.42239</v>
      </c>
      <c r="M43" s="90">
        <v>10042.42239</v>
      </c>
      <c r="N43" s="162">
        <f t="shared" ref="N43:N44" si="39">+L43-M43</f>
        <v>0</v>
      </c>
      <c r="O43" s="5"/>
      <c r="P43" s="113"/>
      <c r="R43" s="165"/>
    </row>
    <row r="44" spans="1:18" ht="17.25" customHeight="1" x14ac:dyDescent="0.2">
      <c r="A44" s="25">
        <v>45210</v>
      </c>
      <c r="B44" s="52" t="s">
        <v>358</v>
      </c>
      <c r="C44" s="10" t="s">
        <v>359</v>
      </c>
      <c r="D44" s="56">
        <v>3.5</v>
      </c>
      <c r="E44" s="63">
        <f>52.5-D44</f>
        <v>49</v>
      </c>
      <c r="F44" s="11">
        <f t="shared" si="17"/>
        <v>437.5</v>
      </c>
      <c r="G44" s="11">
        <f>3693.85-F44</f>
        <v>3256.35</v>
      </c>
      <c r="H44" s="158">
        <v>182.52</v>
      </c>
      <c r="I44" s="20">
        <f t="shared" si="35"/>
        <v>3876.37</v>
      </c>
      <c r="J44" s="8">
        <f t="shared" si="36"/>
        <v>193.8185</v>
      </c>
      <c r="K44" s="8">
        <f t="shared" si="37"/>
        <v>386.66790750000001</v>
      </c>
      <c r="L44" s="8">
        <f t="shared" si="38"/>
        <v>4456.8564074999995</v>
      </c>
      <c r="M44" s="90">
        <v>4456.8564074999995</v>
      </c>
      <c r="N44" s="162">
        <f t="shared" si="39"/>
        <v>0</v>
      </c>
      <c r="O44" s="5"/>
      <c r="P44" s="113"/>
      <c r="R44" s="165"/>
    </row>
    <row r="45" spans="1:18" ht="17.25" customHeight="1" x14ac:dyDescent="0.2">
      <c r="A45" s="25">
        <v>45255</v>
      </c>
      <c r="B45" s="52" t="s">
        <v>364</v>
      </c>
      <c r="C45" s="10" t="s">
        <v>365</v>
      </c>
      <c r="D45" s="56">
        <v>5</v>
      </c>
      <c r="E45" s="63">
        <f>69.5-D45</f>
        <v>64.5</v>
      </c>
      <c r="F45" s="11">
        <f t="shared" si="17"/>
        <v>625</v>
      </c>
      <c r="G45" s="11">
        <f>5022.49-F45</f>
        <v>4397.49</v>
      </c>
      <c r="H45" s="158"/>
      <c r="I45" s="20">
        <f t="shared" ref="I45" si="40">SUM(F45:H45)</f>
        <v>5022.49</v>
      </c>
      <c r="J45" s="8">
        <f>+I45*0.05+0.001</f>
        <v>251.12550000000002</v>
      </c>
      <c r="K45" s="8">
        <f t="shared" ref="K45" si="41">+I45*0.09975</f>
        <v>500.99337750000001</v>
      </c>
      <c r="L45" s="8">
        <f t="shared" ref="L45" si="42">SUM(I45:K45)</f>
        <v>5774.6088774999998</v>
      </c>
      <c r="M45" s="90">
        <v>5774.6088774999998</v>
      </c>
      <c r="N45" s="162">
        <f t="shared" ref="N45:N47" si="43">+L45-M45</f>
        <v>0</v>
      </c>
      <c r="O45" s="5"/>
      <c r="P45" s="113"/>
      <c r="R45" s="165"/>
    </row>
    <row r="46" spans="1:18" ht="17.25" customHeight="1" x14ac:dyDescent="0.2">
      <c r="A46" s="25">
        <v>45269</v>
      </c>
      <c r="B46" s="52" t="s">
        <v>371</v>
      </c>
      <c r="C46" s="10" t="s">
        <v>370</v>
      </c>
      <c r="D46" s="56">
        <v>5.5</v>
      </c>
      <c r="E46" s="63">
        <f>112.5-D46</f>
        <v>107</v>
      </c>
      <c r="F46" s="11">
        <f t="shared" si="17"/>
        <v>687.5</v>
      </c>
      <c r="G46" s="11">
        <f>7872.75-F46</f>
        <v>7185.25</v>
      </c>
      <c r="H46" s="158"/>
      <c r="I46" s="20">
        <f t="shared" ref="I46" si="44">SUM(F46:H46)</f>
        <v>7872.75</v>
      </c>
      <c r="J46" s="8">
        <f>+I46*0.05+0.001</f>
        <v>393.63850000000002</v>
      </c>
      <c r="K46" s="8">
        <f>+I46*0.09975-0.005</f>
        <v>785.3018125000001</v>
      </c>
      <c r="L46" s="8">
        <f t="shared" ref="L46" si="45">SUM(I46:K46)</f>
        <v>9051.6903125000008</v>
      </c>
      <c r="M46" s="90">
        <v>9051.6903125000008</v>
      </c>
      <c r="N46" s="162">
        <f t="shared" si="43"/>
        <v>0</v>
      </c>
      <c r="O46" s="5"/>
      <c r="P46" s="113"/>
      <c r="R46" s="165"/>
    </row>
    <row r="47" spans="1:18" ht="17.25" customHeight="1" x14ac:dyDescent="0.2">
      <c r="A47" s="25">
        <v>45291</v>
      </c>
      <c r="B47" s="52" t="s">
        <v>381</v>
      </c>
      <c r="C47" s="10" t="s">
        <v>380</v>
      </c>
      <c r="D47" s="56">
        <v>3</v>
      </c>
      <c r="E47" s="63">
        <f>8.25+23+2+15</f>
        <v>48.25</v>
      </c>
      <c r="F47" s="11">
        <f t="shared" si="17"/>
        <v>375</v>
      </c>
      <c r="G47" s="11">
        <f>3623.25-F47</f>
        <v>3248.25</v>
      </c>
      <c r="H47" s="158"/>
      <c r="I47" s="20">
        <f t="shared" ref="I47" si="46">SUM(F47:H47)</f>
        <v>3623.25</v>
      </c>
      <c r="J47" s="8">
        <f>+I47*0.05</f>
        <v>181.16250000000002</v>
      </c>
      <c r="K47" s="8">
        <f>+I47*0.09975</f>
        <v>361.41918750000002</v>
      </c>
      <c r="L47" s="8">
        <f t="shared" ref="L47" si="47">SUM(I47:K47)</f>
        <v>4165.8316875</v>
      </c>
      <c r="M47" s="90">
        <v>4165.8316875</v>
      </c>
      <c r="N47" s="162">
        <f t="shared" si="43"/>
        <v>0</v>
      </c>
      <c r="O47" s="5"/>
      <c r="P47" s="113"/>
      <c r="R47" s="165"/>
    </row>
    <row r="48" spans="1:18" ht="17.25" customHeight="1" x14ac:dyDescent="0.2">
      <c r="A48" s="25">
        <v>45322</v>
      </c>
      <c r="B48" s="52" t="s">
        <v>385</v>
      </c>
      <c r="C48" s="10" t="s">
        <v>384</v>
      </c>
      <c r="D48" s="56">
        <v>5</v>
      </c>
      <c r="E48" s="63">
        <f>24.5-D48</f>
        <v>19.5</v>
      </c>
      <c r="F48" s="11">
        <f t="shared" si="17"/>
        <v>625</v>
      </c>
      <c r="G48" s="11">
        <f>1961.89-F48</f>
        <v>1336.89</v>
      </c>
      <c r="H48" s="158"/>
      <c r="I48" s="20">
        <f t="shared" ref="I48:I50" si="48">SUM(F48:H48)</f>
        <v>1961.89</v>
      </c>
      <c r="J48" s="8">
        <f t="shared" ref="J48:J50" si="49">+I48*0.05</f>
        <v>98.094500000000011</v>
      </c>
      <c r="K48" s="8">
        <f t="shared" ref="K48:K50" si="50">+I48*0.09975</f>
        <v>195.69852750000001</v>
      </c>
      <c r="L48" s="8">
        <f t="shared" ref="L48:L50" si="51">SUM(I48:K48)</f>
        <v>2255.6830275000002</v>
      </c>
      <c r="M48" s="90">
        <v>2255.6830275000002</v>
      </c>
      <c r="N48" s="162">
        <f t="shared" ref="N48:N50" si="52">+L48-M48</f>
        <v>0</v>
      </c>
      <c r="O48" s="5"/>
      <c r="P48" s="113"/>
      <c r="R48" s="165"/>
    </row>
    <row r="49" spans="1:18" ht="17.25" customHeight="1" x14ac:dyDescent="0.2">
      <c r="A49" s="25">
        <v>45351</v>
      </c>
      <c r="B49" s="52" t="s">
        <v>386</v>
      </c>
      <c r="C49" s="10" t="s">
        <v>388</v>
      </c>
      <c r="D49" s="56">
        <v>6.5</v>
      </c>
      <c r="E49" s="63">
        <v>30</v>
      </c>
      <c r="F49" s="11">
        <f t="shared" si="17"/>
        <v>812.5</v>
      </c>
      <c r="G49" s="11">
        <f>2897.99-F49</f>
        <v>2085.4899999999998</v>
      </c>
      <c r="H49" s="158"/>
      <c r="I49" s="20">
        <f t="shared" si="48"/>
        <v>2897.99</v>
      </c>
      <c r="J49" s="8">
        <f t="shared" si="49"/>
        <v>144.89949999999999</v>
      </c>
      <c r="K49" s="8">
        <f t="shared" si="50"/>
        <v>289.07450249999999</v>
      </c>
      <c r="L49" s="8">
        <f t="shared" si="51"/>
        <v>3331.9640024999999</v>
      </c>
      <c r="M49" s="90">
        <v>3331.9640024999999</v>
      </c>
      <c r="N49" s="162">
        <f t="shared" si="52"/>
        <v>0</v>
      </c>
      <c r="O49" s="5"/>
      <c r="P49" s="113"/>
      <c r="R49" s="165"/>
    </row>
    <row r="50" spans="1:18" ht="17.25" customHeight="1" x14ac:dyDescent="0.2">
      <c r="A50" s="25">
        <v>45382</v>
      </c>
      <c r="B50" s="52" t="s">
        <v>387</v>
      </c>
      <c r="C50" s="10" t="s">
        <v>389</v>
      </c>
      <c r="D50" s="56">
        <v>3</v>
      </c>
      <c r="E50" s="63">
        <v>33.75</v>
      </c>
      <c r="F50" s="11">
        <f t="shared" si="17"/>
        <v>375</v>
      </c>
      <c r="G50" s="11">
        <f>2501.34-F50</f>
        <v>2126.34</v>
      </c>
      <c r="H50" s="158"/>
      <c r="I50" s="20">
        <f t="shared" si="48"/>
        <v>2501.34</v>
      </c>
      <c r="J50" s="8">
        <f t="shared" si="49"/>
        <v>125.06700000000001</v>
      </c>
      <c r="K50" s="8">
        <f t="shared" si="50"/>
        <v>249.50866500000004</v>
      </c>
      <c r="L50" s="8">
        <f t="shared" si="51"/>
        <v>2875.915665</v>
      </c>
      <c r="M50" s="90">
        <v>2875.915665</v>
      </c>
      <c r="N50" s="162">
        <f t="shared" si="52"/>
        <v>0</v>
      </c>
      <c r="O50" s="5"/>
      <c r="P50" s="113"/>
      <c r="R50" s="165"/>
    </row>
    <row r="51" spans="1:18" ht="17.25" customHeight="1" x14ac:dyDescent="0.2">
      <c r="A51" s="25">
        <v>45412</v>
      </c>
      <c r="B51" s="52" t="s">
        <v>400</v>
      </c>
      <c r="C51" s="10" t="s">
        <v>403</v>
      </c>
      <c r="D51" s="56">
        <v>6</v>
      </c>
      <c r="E51" s="63">
        <v>25.5</v>
      </c>
      <c r="F51" s="11">
        <f t="shared" si="17"/>
        <v>750</v>
      </c>
      <c r="G51" s="11">
        <f>2425.8-F51</f>
        <v>1675.8000000000002</v>
      </c>
      <c r="H51" s="158"/>
      <c r="I51" s="20">
        <f t="shared" ref="I51:I53" si="53">SUM(F51:H51)</f>
        <v>2425.8000000000002</v>
      </c>
      <c r="J51" s="8">
        <f t="shared" ref="J51:J53" si="54">+I51*0.05</f>
        <v>121.29000000000002</v>
      </c>
      <c r="K51" s="8">
        <f t="shared" ref="K51:K53" si="55">+I51*0.09975</f>
        <v>241.97355000000002</v>
      </c>
      <c r="L51" s="8">
        <f t="shared" ref="L51:L53" si="56">SUM(I51:K51)</f>
        <v>2789.0635500000003</v>
      </c>
      <c r="M51" s="90">
        <v>2789.0635500000003</v>
      </c>
      <c r="N51" s="162">
        <f t="shared" ref="N51:N53" si="57">+L51-M51</f>
        <v>0</v>
      </c>
      <c r="O51" s="5"/>
      <c r="P51" s="113"/>
      <c r="R51" s="165"/>
    </row>
    <row r="52" spans="1:18" ht="17.25" customHeight="1" x14ac:dyDescent="0.2">
      <c r="A52" s="25">
        <v>45443</v>
      </c>
      <c r="B52" s="52" t="s">
        <v>401</v>
      </c>
      <c r="C52" s="10" t="s">
        <v>404</v>
      </c>
      <c r="D52" s="56">
        <v>11</v>
      </c>
      <c r="E52" s="63">
        <v>37</v>
      </c>
      <c r="F52" s="11">
        <f t="shared" si="17"/>
        <v>1375</v>
      </c>
      <c r="G52" s="11">
        <f>3997.48-F52</f>
        <v>2622.48</v>
      </c>
      <c r="H52" s="158"/>
      <c r="I52" s="20">
        <f t="shared" si="53"/>
        <v>3997.48</v>
      </c>
      <c r="J52" s="8">
        <f t="shared" si="54"/>
        <v>199.87400000000002</v>
      </c>
      <c r="K52" s="8">
        <f t="shared" si="55"/>
        <v>398.74863000000005</v>
      </c>
      <c r="L52" s="8">
        <f t="shared" si="56"/>
        <v>4596.1026300000003</v>
      </c>
      <c r="M52" s="90">
        <v>4596.1026300000003</v>
      </c>
      <c r="N52" s="162">
        <f t="shared" si="57"/>
        <v>0</v>
      </c>
      <c r="O52" s="5"/>
      <c r="P52" s="113"/>
      <c r="R52" s="165"/>
    </row>
    <row r="53" spans="1:18" ht="17.25" customHeight="1" x14ac:dyDescent="0.2">
      <c r="A53" s="25">
        <v>45473</v>
      </c>
      <c r="B53" s="52" t="s">
        <v>402</v>
      </c>
      <c r="C53" s="10" t="s">
        <v>405</v>
      </c>
      <c r="D53" s="56">
        <v>8</v>
      </c>
      <c r="E53" s="63">
        <v>26</v>
      </c>
      <c r="F53" s="11">
        <f t="shared" si="17"/>
        <v>1000</v>
      </c>
      <c r="G53" s="11">
        <f>2657.04-F53</f>
        <v>1657.04</v>
      </c>
      <c r="H53" s="158"/>
      <c r="I53" s="20">
        <f t="shared" si="53"/>
        <v>2657.04</v>
      </c>
      <c r="J53" s="8">
        <f t="shared" si="54"/>
        <v>132.852</v>
      </c>
      <c r="K53" s="8">
        <f t="shared" si="55"/>
        <v>265.03973999999999</v>
      </c>
      <c r="L53" s="8">
        <f t="shared" si="56"/>
        <v>3054.93174</v>
      </c>
      <c r="M53" s="90">
        <v>3054.93174</v>
      </c>
      <c r="N53" s="162">
        <f t="shared" si="57"/>
        <v>0</v>
      </c>
      <c r="O53" s="5"/>
      <c r="P53" s="113"/>
      <c r="R53" s="165"/>
    </row>
    <row r="54" spans="1:18" ht="17.25" customHeight="1" x14ac:dyDescent="0.2">
      <c r="A54" s="25">
        <v>45504</v>
      </c>
      <c r="B54" s="52" t="s">
        <v>419</v>
      </c>
      <c r="C54" s="10" t="s">
        <v>427</v>
      </c>
      <c r="D54" s="56">
        <v>4</v>
      </c>
      <c r="E54" s="63">
        <v>60</v>
      </c>
      <c r="F54" s="11">
        <f t="shared" si="17"/>
        <v>500</v>
      </c>
      <c r="G54" s="11">
        <f>4081.75-F54</f>
        <v>3581.75</v>
      </c>
      <c r="H54" s="158"/>
      <c r="I54" s="20">
        <f t="shared" ref="I54:I56" si="58">SUM(F54:H54)</f>
        <v>4081.75</v>
      </c>
      <c r="J54" s="8">
        <f t="shared" ref="J54:J56" si="59">+I54*0.05</f>
        <v>204.08750000000001</v>
      </c>
      <c r="K54" s="8">
        <f t="shared" ref="K54:K56" si="60">+I54*0.09975</f>
        <v>407.1545625</v>
      </c>
      <c r="L54" s="8">
        <f t="shared" ref="L54:L56" si="61">SUM(I54:K54)</f>
        <v>4692.9920624999995</v>
      </c>
      <c r="M54" s="90">
        <v>4692.9920624999995</v>
      </c>
      <c r="N54" s="162">
        <f t="shared" ref="N54:N59" si="62">+L54-M54</f>
        <v>0</v>
      </c>
      <c r="O54" s="5"/>
      <c r="P54" s="113"/>
      <c r="R54" s="165"/>
    </row>
    <row r="55" spans="1:18" ht="17.25" customHeight="1" x14ac:dyDescent="0.2">
      <c r="A55" s="25">
        <v>45535</v>
      </c>
      <c r="B55" s="52" t="s">
        <v>420</v>
      </c>
      <c r="C55" s="10" t="s">
        <v>428</v>
      </c>
      <c r="D55" s="56">
        <v>3</v>
      </c>
      <c r="E55" s="63">
        <v>31.25</v>
      </c>
      <c r="F55" s="11">
        <f t="shared" si="17"/>
        <v>375</v>
      </c>
      <c r="G55" s="11">
        <f>2432.23-F55</f>
        <v>2057.23</v>
      </c>
      <c r="H55" s="158"/>
      <c r="I55" s="20">
        <f t="shared" si="58"/>
        <v>2432.23</v>
      </c>
      <c r="J55" s="8">
        <f t="shared" si="59"/>
        <v>121.61150000000001</v>
      </c>
      <c r="K55" s="8">
        <f t="shared" si="60"/>
        <v>242.61494250000001</v>
      </c>
      <c r="L55" s="8">
        <f t="shared" si="61"/>
        <v>2796.4564424999999</v>
      </c>
      <c r="M55" s="90">
        <v>2796.4564424999999</v>
      </c>
      <c r="N55" s="162">
        <f t="shared" si="62"/>
        <v>0</v>
      </c>
      <c r="O55" s="5"/>
      <c r="P55" s="113"/>
      <c r="R55" s="165"/>
    </row>
    <row r="56" spans="1:18" ht="17.25" customHeight="1" x14ac:dyDescent="0.2">
      <c r="A56" s="25">
        <v>45565</v>
      </c>
      <c r="B56" s="52" t="s">
        <v>421</v>
      </c>
      <c r="C56" s="10" t="s">
        <v>429</v>
      </c>
      <c r="D56" s="56">
        <v>7</v>
      </c>
      <c r="E56" s="63">
        <v>27.25</v>
      </c>
      <c r="F56" s="11">
        <f t="shared" si="17"/>
        <v>875</v>
      </c>
      <c r="G56" s="11">
        <f>2706.61-F56</f>
        <v>1831.6100000000001</v>
      </c>
      <c r="H56" s="158"/>
      <c r="I56" s="20">
        <f t="shared" si="58"/>
        <v>2706.61</v>
      </c>
      <c r="J56" s="8">
        <f t="shared" si="59"/>
        <v>135.3305</v>
      </c>
      <c r="K56" s="8">
        <f t="shared" si="60"/>
        <v>269.98434750000001</v>
      </c>
      <c r="L56" s="8">
        <f t="shared" si="61"/>
        <v>3111.9248475000004</v>
      </c>
      <c r="M56" s="90">
        <v>3111.9248475000004</v>
      </c>
      <c r="N56" s="162">
        <f t="shared" si="62"/>
        <v>0</v>
      </c>
      <c r="O56" s="5">
        <v>50000</v>
      </c>
      <c r="P56" s="113"/>
      <c r="R56" s="165"/>
    </row>
    <row r="57" spans="1:18" ht="17.25" customHeight="1" x14ac:dyDescent="0.2">
      <c r="A57" s="25">
        <v>45596</v>
      </c>
      <c r="B57" s="52" t="s">
        <v>448</v>
      </c>
      <c r="C57" s="10" t="s">
        <v>449</v>
      </c>
      <c r="D57" s="56">
        <v>3.5</v>
      </c>
      <c r="E57" s="63">
        <v>28</v>
      </c>
      <c r="F57" s="11">
        <f t="shared" si="17"/>
        <v>437.5</v>
      </c>
      <c r="G57" s="11">
        <f>2500.9-F57</f>
        <v>2063.4</v>
      </c>
      <c r="H57" s="158"/>
      <c r="I57" s="20">
        <f t="shared" ref="I57:I59" si="63">SUM(F57:H57)</f>
        <v>2500.9</v>
      </c>
      <c r="J57" s="8">
        <f t="shared" ref="J57:J59" si="64">+I57*0.05</f>
        <v>125.04500000000002</v>
      </c>
      <c r="K57" s="8">
        <f t="shared" ref="K57:K59" si="65">+I57*0.09975</f>
        <v>249.46477500000003</v>
      </c>
      <c r="L57" s="8">
        <f t="shared" ref="L57:L59" si="66">SUM(I57:K57)</f>
        <v>2875.4097750000001</v>
      </c>
      <c r="M57" s="90">
        <v>2875.4097750000001</v>
      </c>
      <c r="N57" s="162">
        <f t="shared" si="62"/>
        <v>0</v>
      </c>
      <c r="O57" s="5"/>
      <c r="P57" s="113"/>
      <c r="R57" s="165"/>
    </row>
    <row r="58" spans="1:18" ht="17.25" customHeight="1" x14ac:dyDescent="0.2">
      <c r="A58" s="25">
        <v>45626</v>
      </c>
      <c r="B58" s="52" t="s">
        <v>445</v>
      </c>
      <c r="C58" s="10" t="s">
        <v>450</v>
      </c>
      <c r="D58" s="56">
        <v>4</v>
      </c>
      <c r="E58" s="63">
        <v>25.75</v>
      </c>
      <c r="F58" s="11">
        <f t="shared" si="17"/>
        <v>500</v>
      </c>
      <c r="G58" s="11">
        <f>2246.58-F58</f>
        <v>1746.58</v>
      </c>
      <c r="H58" s="158"/>
      <c r="I58" s="20">
        <f t="shared" si="63"/>
        <v>2246.58</v>
      </c>
      <c r="J58" s="8">
        <f t="shared" si="64"/>
        <v>112.32900000000001</v>
      </c>
      <c r="K58" s="8">
        <f t="shared" si="65"/>
        <v>224.09635500000002</v>
      </c>
      <c r="L58" s="8">
        <f t="shared" si="66"/>
        <v>2583.0053550000002</v>
      </c>
      <c r="M58" s="90">
        <v>2583.0053550000002</v>
      </c>
      <c r="N58" s="162">
        <f t="shared" si="62"/>
        <v>0</v>
      </c>
      <c r="O58" s="5"/>
      <c r="P58" s="113"/>
      <c r="R58" s="165"/>
    </row>
    <row r="59" spans="1:18" ht="17.25" customHeight="1" x14ac:dyDescent="0.2">
      <c r="A59" s="25">
        <v>45657</v>
      </c>
      <c r="B59" s="52" t="s">
        <v>447</v>
      </c>
      <c r="C59" s="10" t="s">
        <v>451</v>
      </c>
      <c r="D59" s="56">
        <v>3.5</v>
      </c>
      <c r="E59" s="63">
        <v>22.25</v>
      </c>
      <c r="F59" s="11">
        <f t="shared" si="17"/>
        <v>437.5</v>
      </c>
      <c r="G59" s="11">
        <f>1882.93-F59</f>
        <v>1445.43</v>
      </c>
      <c r="H59" s="158"/>
      <c r="I59" s="20">
        <f t="shared" si="63"/>
        <v>1882.93</v>
      </c>
      <c r="J59" s="8">
        <f t="shared" si="64"/>
        <v>94.146500000000003</v>
      </c>
      <c r="K59" s="8">
        <f t="shared" si="65"/>
        <v>187.82226750000001</v>
      </c>
      <c r="L59" s="8">
        <f t="shared" si="66"/>
        <v>2164.8987675000003</v>
      </c>
      <c r="M59" s="90">
        <v>2164.8987675000003</v>
      </c>
      <c r="N59" s="162">
        <f t="shared" si="62"/>
        <v>0</v>
      </c>
      <c r="O59" s="5"/>
      <c r="P59" s="113"/>
      <c r="R59" s="165"/>
    </row>
    <row r="60" spans="1:18" ht="17.25" customHeight="1" x14ac:dyDescent="0.2">
      <c r="A60" s="25">
        <v>45688</v>
      </c>
      <c r="B60" s="52" t="s">
        <v>460</v>
      </c>
      <c r="C60" s="10" t="s">
        <v>463</v>
      </c>
      <c r="D60" s="56">
        <v>4</v>
      </c>
      <c r="E60" s="63">
        <f>5.5+15+3.75</f>
        <v>24.25</v>
      </c>
      <c r="F60" s="11">
        <f t="shared" si="17"/>
        <v>500</v>
      </c>
      <c r="G60" s="11">
        <f>2287.56-F60</f>
        <v>1787.56</v>
      </c>
      <c r="H60" s="158"/>
      <c r="I60" s="20">
        <f t="shared" ref="I60:I61" si="67">SUM(F60:H60)</f>
        <v>2287.56</v>
      </c>
      <c r="J60" s="8">
        <f t="shared" ref="J60:J62" si="68">+I60*0.05</f>
        <v>114.378</v>
      </c>
      <c r="K60" s="8">
        <f t="shared" ref="K60:K62" si="69">+I60*0.09975</f>
        <v>228.18411</v>
      </c>
      <c r="L60" s="8">
        <f t="shared" ref="L60:L62" si="70">SUM(I60:K60)</f>
        <v>2630.1221100000002</v>
      </c>
      <c r="M60" s="90">
        <v>2630.1221100000002</v>
      </c>
      <c r="N60" s="162">
        <f t="shared" ref="N60:N65" si="71">+L60-M60</f>
        <v>0</v>
      </c>
      <c r="O60" s="5"/>
      <c r="P60" s="113"/>
      <c r="R60" s="165"/>
    </row>
    <row r="61" spans="1:18" ht="17.25" customHeight="1" x14ac:dyDescent="0.2">
      <c r="A61" s="25">
        <v>45716</v>
      </c>
      <c r="B61" s="52" t="s">
        <v>461</v>
      </c>
      <c r="C61" s="10" t="s">
        <v>464</v>
      </c>
      <c r="D61" s="56">
        <v>2</v>
      </c>
      <c r="E61" s="63">
        <f>4+14+0.25+3</f>
        <v>21.25</v>
      </c>
      <c r="F61" s="11">
        <f t="shared" si="17"/>
        <v>250</v>
      </c>
      <c r="G61" s="11">
        <f>1536.09-F61+477.25</f>
        <v>1763.34</v>
      </c>
      <c r="H61" s="158"/>
      <c r="I61" s="20">
        <f t="shared" si="67"/>
        <v>2013.34</v>
      </c>
      <c r="J61" s="8">
        <f t="shared" si="68"/>
        <v>100.667</v>
      </c>
      <c r="K61" s="8">
        <f t="shared" si="69"/>
        <v>200.83066500000001</v>
      </c>
      <c r="L61" s="8">
        <f t="shared" si="70"/>
        <v>2314.837665</v>
      </c>
      <c r="M61" s="90">
        <v>2314.837665</v>
      </c>
      <c r="N61" s="162">
        <f t="shared" si="71"/>
        <v>0</v>
      </c>
      <c r="O61" s="5"/>
      <c r="P61" s="113"/>
      <c r="R61" s="165"/>
    </row>
    <row r="62" spans="1:18" ht="17.25" customHeight="1" x14ac:dyDescent="0.2">
      <c r="A62" s="25">
        <v>45747</v>
      </c>
      <c r="B62" s="52" t="s">
        <v>462</v>
      </c>
      <c r="C62" s="10" t="s">
        <v>465</v>
      </c>
      <c r="D62" s="56">
        <v>2.5</v>
      </c>
      <c r="E62" s="63">
        <f>3+9+0.25</f>
        <v>12.25</v>
      </c>
      <c r="F62" s="11">
        <f t="shared" si="17"/>
        <v>312.5</v>
      </c>
      <c r="G62" s="11">
        <f>1173.94-F62</f>
        <v>861.44</v>
      </c>
      <c r="H62" s="158"/>
      <c r="I62" s="20">
        <f t="shared" ref="I62:I68" si="72">SUM(F62:H62)</f>
        <v>1173.94</v>
      </c>
      <c r="J62" s="8">
        <f t="shared" si="68"/>
        <v>58.697000000000003</v>
      </c>
      <c r="K62" s="8">
        <f t="shared" si="69"/>
        <v>117.10051500000002</v>
      </c>
      <c r="L62" s="8">
        <f t="shared" si="70"/>
        <v>1349.7375150000003</v>
      </c>
      <c r="M62" s="90">
        <v>1349.7375150000003</v>
      </c>
      <c r="N62" s="162">
        <f t="shared" si="71"/>
        <v>0</v>
      </c>
      <c r="O62" s="5"/>
      <c r="P62" s="113"/>
      <c r="R62" s="165"/>
    </row>
    <row r="63" spans="1:18" ht="17.25" customHeight="1" x14ac:dyDescent="0.2">
      <c r="A63" s="25">
        <v>45777</v>
      </c>
      <c r="B63" s="52" t="s">
        <v>475</v>
      </c>
      <c r="C63" s="10" t="s">
        <v>478</v>
      </c>
      <c r="D63" s="56">
        <v>3.5</v>
      </c>
      <c r="E63" s="63">
        <f>31-D63</f>
        <v>27.5</v>
      </c>
      <c r="F63" s="11">
        <f t="shared" si="17"/>
        <v>437.5</v>
      </c>
      <c r="G63" s="11">
        <f>2496.05-F63</f>
        <v>2058.5500000000002</v>
      </c>
      <c r="H63" s="158"/>
      <c r="I63" s="20">
        <f t="shared" si="72"/>
        <v>2496.0500000000002</v>
      </c>
      <c r="J63" s="8">
        <f t="shared" ref="J63:J65" si="73">+I63*0.05</f>
        <v>124.80250000000001</v>
      </c>
      <c r="K63" s="8">
        <f t="shared" ref="K63:K65" si="74">+I63*0.09975</f>
        <v>248.98098750000003</v>
      </c>
      <c r="L63" s="8">
        <f t="shared" ref="L63:L65" si="75">SUM(I63:K63)</f>
        <v>2869.8334875</v>
      </c>
      <c r="M63" s="90">
        <v>2869.8334875</v>
      </c>
      <c r="N63" s="162">
        <f t="shared" si="71"/>
        <v>0</v>
      </c>
      <c r="O63" s="5"/>
      <c r="P63" s="113"/>
      <c r="R63" s="165"/>
    </row>
    <row r="64" spans="1:18" ht="17.25" customHeight="1" x14ac:dyDescent="0.2">
      <c r="A64" s="25">
        <v>45808</v>
      </c>
      <c r="B64" s="52" t="s">
        <v>476</v>
      </c>
      <c r="C64" s="10" t="s">
        <v>479</v>
      </c>
      <c r="D64" s="56">
        <v>3</v>
      </c>
      <c r="E64" s="63">
        <f>16.5-D64</f>
        <v>13.5</v>
      </c>
      <c r="F64" s="11">
        <f t="shared" si="17"/>
        <v>375</v>
      </c>
      <c r="G64" s="11">
        <f>2171.72-F64</f>
        <v>1796.7199999999998</v>
      </c>
      <c r="H64" s="158">
        <v>62</v>
      </c>
      <c r="I64" s="20">
        <f t="shared" si="72"/>
        <v>2233.7199999999998</v>
      </c>
      <c r="J64" s="8">
        <f t="shared" si="73"/>
        <v>111.68599999999999</v>
      </c>
      <c r="K64" s="8">
        <f t="shared" si="74"/>
        <v>222.81357</v>
      </c>
      <c r="L64" s="8">
        <f t="shared" si="75"/>
        <v>2568.2195699999997</v>
      </c>
      <c r="M64" s="90"/>
      <c r="N64" s="162">
        <f t="shared" si="71"/>
        <v>2568.2195699999997</v>
      </c>
      <c r="O64" s="5"/>
      <c r="P64" s="113"/>
      <c r="R64" s="165"/>
    </row>
    <row r="65" spans="1:18" ht="17.25" customHeight="1" x14ac:dyDescent="0.2">
      <c r="A65" s="25">
        <v>45838</v>
      </c>
      <c r="B65" s="52" t="s">
        <v>477</v>
      </c>
      <c r="C65" s="10" t="s">
        <v>480</v>
      </c>
      <c r="D65" s="56">
        <v>0</v>
      </c>
      <c r="E65" s="63">
        <v>9.75</v>
      </c>
      <c r="F65" s="11">
        <f t="shared" si="17"/>
        <v>0</v>
      </c>
      <c r="G65" s="11">
        <v>715.43</v>
      </c>
      <c r="H65" s="158"/>
      <c r="I65" s="20">
        <f t="shared" si="72"/>
        <v>715.43</v>
      </c>
      <c r="J65" s="8">
        <f t="shared" si="73"/>
        <v>35.771499999999996</v>
      </c>
      <c r="K65" s="8">
        <f t="shared" si="74"/>
        <v>71.3641425</v>
      </c>
      <c r="L65" s="8">
        <f t="shared" si="75"/>
        <v>822.56564249999985</v>
      </c>
      <c r="M65" s="90"/>
      <c r="N65" s="162">
        <f t="shared" si="71"/>
        <v>822.56564249999985</v>
      </c>
      <c r="O65" s="5"/>
      <c r="P65" s="113"/>
      <c r="R65" s="165"/>
    </row>
    <row r="66" spans="1:18" ht="17.25" customHeight="1" x14ac:dyDescent="0.2">
      <c r="A66" s="25">
        <v>45869</v>
      </c>
      <c r="B66" s="52" t="s">
        <v>490</v>
      </c>
      <c r="C66" s="10" t="s">
        <v>492</v>
      </c>
      <c r="D66" s="56">
        <v>1</v>
      </c>
      <c r="E66" s="63">
        <f>0.5+12.5+2.25+2.5</f>
        <v>17.75</v>
      </c>
      <c r="F66" s="11">
        <f t="shared" si="17"/>
        <v>125</v>
      </c>
      <c r="G66" s="11">
        <f>1518.55-F66</f>
        <v>1393.55</v>
      </c>
      <c r="H66" s="158"/>
      <c r="I66" s="20">
        <f t="shared" si="72"/>
        <v>1518.55</v>
      </c>
      <c r="J66" s="8">
        <f t="shared" ref="J66:J68" si="76">+I66*0.05</f>
        <v>75.927499999999995</v>
      </c>
      <c r="K66" s="8">
        <f t="shared" ref="K66:K68" si="77">+I66*0.09975</f>
        <v>151.47536250000002</v>
      </c>
      <c r="L66" s="8">
        <f t="shared" ref="L66:L68" si="78">SUM(I66:K66)</f>
        <v>1745.9528625</v>
      </c>
      <c r="M66" s="90"/>
      <c r="N66" s="162">
        <f t="shared" ref="N66:N68" si="79">+L66-M66</f>
        <v>1745.9528625</v>
      </c>
      <c r="O66" s="5"/>
      <c r="P66" s="113"/>
      <c r="R66" s="165"/>
    </row>
    <row r="67" spans="1:18" ht="17.25" customHeight="1" x14ac:dyDescent="0.2">
      <c r="A67" s="25">
        <v>45900</v>
      </c>
      <c r="B67" s="52" t="s">
        <v>488</v>
      </c>
      <c r="C67" s="10" t="s">
        <v>494</v>
      </c>
      <c r="D67" s="56">
        <v>0</v>
      </c>
      <c r="E67" s="63">
        <v>39.5</v>
      </c>
      <c r="F67" s="11">
        <f t="shared" si="17"/>
        <v>0</v>
      </c>
      <c r="G67" s="11">
        <v>2886.25</v>
      </c>
      <c r="H67" s="158"/>
      <c r="I67" s="20">
        <f t="shared" si="72"/>
        <v>2886.25</v>
      </c>
      <c r="J67" s="8">
        <f t="shared" si="76"/>
        <v>144.3125</v>
      </c>
      <c r="K67" s="8">
        <f t="shared" si="77"/>
        <v>287.9034375</v>
      </c>
      <c r="L67" s="8">
        <f t="shared" si="78"/>
        <v>3318.4659375000001</v>
      </c>
      <c r="M67" s="90"/>
      <c r="N67" s="162">
        <f t="shared" si="79"/>
        <v>3318.4659375000001</v>
      </c>
      <c r="O67" s="5"/>
      <c r="P67" s="113"/>
      <c r="R67" s="165"/>
    </row>
    <row r="68" spans="1:18" ht="17.25" customHeight="1" x14ac:dyDescent="0.2">
      <c r="A68" s="25">
        <v>45930</v>
      </c>
      <c r="B68" s="52" t="s">
        <v>491</v>
      </c>
      <c r="C68" s="10" t="s">
        <v>493</v>
      </c>
      <c r="D68" s="56">
        <v>0</v>
      </c>
      <c r="E68" s="63">
        <v>15</v>
      </c>
      <c r="F68" s="11">
        <f t="shared" si="17"/>
        <v>0</v>
      </c>
      <c r="G68" s="11">
        <v>1120.25</v>
      </c>
      <c r="H68" s="158"/>
      <c r="I68" s="20">
        <f t="shared" si="72"/>
        <v>1120.25</v>
      </c>
      <c r="J68" s="8">
        <f t="shared" si="76"/>
        <v>56.012500000000003</v>
      </c>
      <c r="K68" s="8">
        <f t="shared" si="77"/>
        <v>111.74493750000001</v>
      </c>
      <c r="L68" s="8">
        <f t="shared" si="78"/>
        <v>1288.0074375000002</v>
      </c>
      <c r="M68" s="90"/>
      <c r="N68" s="162">
        <f t="shared" si="79"/>
        <v>1288.0074375000002</v>
      </c>
      <c r="O68" s="5"/>
      <c r="P68" s="113"/>
      <c r="R68" s="165"/>
    </row>
    <row r="69" spans="1:18" ht="17.25" customHeight="1" x14ac:dyDescent="0.2">
      <c r="A69" s="25"/>
      <c r="B69" s="52"/>
      <c r="C69" s="10"/>
      <c r="D69" s="56"/>
      <c r="E69" s="63"/>
      <c r="F69" s="11"/>
      <c r="G69" s="11"/>
      <c r="H69" s="158"/>
      <c r="I69" s="20"/>
      <c r="J69" s="8"/>
      <c r="K69" s="8"/>
      <c r="L69" s="8"/>
      <c r="M69" s="90"/>
      <c r="N69" s="162"/>
      <c r="O69" s="5"/>
      <c r="P69" s="113"/>
      <c r="R69" s="165"/>
    </row>
    <row r="70" spans="1:18" ht="18.75" customHeight="1" thickBot="1" x14ac:dyDescent="0.25">
      <c r="A70" s="24"/>
      <c r="B70" s="24"/>
      <c r="C70" s="24"/>
      <c r="D70" s="81">
        <f t="shared" ref="D70:N70" si="80">SUM(D4:D69)</f>
        <v>263</v>
      </c>
      <c r="E70" s="66">
        <f t="shared" si="80"/>
        <v>12693.4</v>
      </c>
      <c r="F70" s="24">
        <f t="shared" si="80"/>
        <v>32850</v>
      </c>
      <c r="G70" s="24">
        <f t="shared" si="80"/>
        <v>853553.50000000023</v>
      </c>
      <c r="H70" s="159">
        <f t="shared" si="80"/>
        <v>2631.18</v>
      </c>
      <c r="I70" s="24">
        <f t="shared" si="80"/>
        <v>889034.68000000017</v>
      </c>
      <c r="J70" s="24">
        <f t="shared" si="80"/>
        <v>44451.763499999994</v>
      </c>
      <c r="K70" s="24">
        <f t="shared" si="80"/>
        <v>88681.178984999977</v>
      </c>
      <c r="L70" s="24">
        <f t="shared" si="80"/>
        <v>1022167.6324850001</v>
      </c>
      <c r="M70" s="91">
        <f t="shared" si="80"/>
        <v>1012424.4210350001</v>
      </c>
      <c r="N70" s="159">
        <f t="shared" si="80"/>
        <v>9743.2114499999989</v>
      </c>
      <c r="O70" s="24">
        <f>SUM(O5:O69)</f>
        <v>295500</v>
      </c>
      <c r="P70" s="24">
        <f>SUM(P5:P69)</f>
        <v>172773.90000000005</v>
      </c>
      <c r="Q70" s="24">
        <f>SUM(Q5:Q69)</f>
        <v>11355.63</v>
      </c>
      <c r="R70" s="165"/>
    </row>
    <row r="71" spans="1:18" ht="18.75" customHeight="1" thickTop="1" x14ac:dyDescent="0.2">
      <c r="C71" s="10"/>
      <c r="D71" s="10"/>
      <c r="E71" s="63">
        <f>+E70+D70</f>
        <v>12956.4</v>
      </c>
      <c r="F71" s="11"/>
      <c r="G71" s="11"/>
      <c r="H71" s="29"/>
      <c r="I71" s="21"/>
      <c r="J71" s="11"/>
      <c r="K71" s="11"/>
      <c r="L71" s="11"/>
      <c r="M71" s="9"/>
    </row>
    <row r="72" spans="1:18" x14ac:dyDescent="0.2">
      <c r="C72" s="10"/>
      <c r="D72" s="10"/>
      <c r="E72" s="35"/>
      <c r="G72" s="28"/>
      <c r="I72" s="16"/>
    </row>
    <row r="73" spans="1:18" x14ac:dyDescent="0.2">
      <c r="C73" s="10"/>
      <c r="D73" s="10"/>
      <c r="E73" s="35"/>
      <c r="H73" s="9"/>
      <c r="I73" s="16"/>
      <c r="O73" s="9"/>
    </row>
    <row r="74" spans="1:18" x14ac:dyDescent="0.2">
      <c r="C74" s="10"/>
      <c r="D74" s="10"/>
      <c r="E74" s="35"/>
      <c r="I74" s="15"/>
    </row>
    <row r="75" spans="1:18" x14ac:dyDescent="0.2">
      <c r="C75" s="10"/>
      <c r="D75" s="10"/>
      <c r="E75" s="35"/>
      <c r="H75" s="5"/>
      <c r="I75" s="22"/>
    </row>
    <row r="76" spans="1:18" x14ac:dyDescent="0.2">
      <c r="C76" s="10"/>
      <c r="D76" s="10"/>
      <c r="E76" s="35"/>
      <c r="H76" s="9"/>
      <c r="I76" s="22"/>
    </row>
    <row r="77" spans="1:18" x14ac:dyDescent="0.2">
      <c r="B77" s="17"/>
      <c r="H77" s="4"/>
      <c r="I77" s="4"/>
      <c r="J77" s="1"/>
      <c r="K77" s="1"/>
      <c r="L77" s="1"/>
    </row>
    <row r="78" spans="1:18" x14ac:dyDescent="0.2">
      <c r="B78" s="55"/>
      <c r="H78" s="4"/>
      <c r="I78" s="4"/>
      <c r="J78" s="1"/>
      <c r="K78" s="1"/>
      <c r="L78" s="1"/>
    </row>
    <row r="79" spans="1:18" x14ac:dyDescent="0.2">
      <c r="B79" s="17"/>
      <c r="H79" s="4"/>
      <c r="I79" s="82"/>
      <c r="J79" s="1"/>
      <c r="K79" s="1"/>
      <c r="L79" s="1"/>
    </row>
    <row r="80" spans="1:18" x14ac:dyDescent="0.2">
      <c r="H80" s="4"/>
      <c r="I80" s="82"/>
      <c r="J80" s="1"/>
      <c r="K80" s="1"/>
      <c r="L80" s="1"/>
    </row>
    <row r="81" spans="2:12" x14ac:dyDescent="0.2">
      <c r="H81" s="4"/>
      <c r="I81" s="4"/>
      <c r="J81" s="1"/>
      <c r="K81" s="1"/>
      <c r="L81" s="1"/>
    </row>
    <row r="82" spans="2:12" x14ac:dyDescent="0.2">
      <c r="B82" s="55"/>
      <c r="H82" s="4"/>
      <c r="I82" s="4"/>
      <c r="J82" s="1"/>
      <c r="K82" s="1"/>
      <c r="L82" s="1"/>
    </row>
    <row r="83" spans="2:12" x14ac:dyDescent="0.2">
      <c r="B83" s="17"/>
      <c r="H83" s="4"/>
      <c r="I83" s="4"/>
      <c r="J83" s="1"/>
      <c r="K83" s="1"/>
      <c r="L83" s="1"/>
    </row>
    <row r="84" spans="2:12" x14ac:dyDescent="0.2">
      <c r="H84" s="4"/>
      <c r="I84" s="16"/>
    </row>
    <row r="85" spans="2:12" x14ac:dyDescent="0.2">
      <c r="I85" s="15"/>
    </row>
    <row r="86" spans="2:12" x14ac:dyDescent="0.2">
      <c r="I86" s="23"/>
    </row>
    <row r="88" spans="2:12" x14ac:dyDescent="0.2">
      <c r="H88" s="13"/>
    </row>
    <row r="90" spans="2:12" x14ac:dyDescent="0.2">
      <c r="I90" s="15"/>
    </row>
    <row r="91" spans="2:12" x14ac:dyDescent="0.2">
      <c r="I91" s="15"/>
    </row>
    <row r="94" spans="2:12" x14ac:dyDescent="0.2">
      <c r="H94" s="13"/>
      <c r="I94" s="23"/>
    </row>
  </sheetData>
  <phoneticPr fontId="21" type="noConversion"/>
  <pageMargins left="0" right="0" top="0.19685039370078741" bottom="0" header="0.39370078740157483" footer="0.15748031496062992"/>
  <pageSetup scale="60" orientation="landscape" cellComments="asDisplayed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DB63-8B05-4686-9F19-ED30381E35FA}">
  <sheetPr>
    <pageSetUpPr fitToPage="1"/>
  </sheetPr>
  <dimension ref="A1:AM60"/>
  <sheetViews>
    <sheetView showGridLines="0" zoomScaleNormal="100" workbookViewId="0">
      <selection activeCell="C38" sqref="C38"/>
    </sheetView>
  </sheetViews>
  <sheetFormatPr baseColWidth="10" defaultColWidth="11.42578125" defaultRowHeight="12.75" x14ac:dyDescent="0.2"/>
  <cols>
    <col min="1" max="1" width="12.42578125" style="14" customWidth="1"/>
    <col min="2" max="2" width="27" style="51" customWidth="1"/>
    <col min="3" max="3" width="13.5703125" style="65" customWidth="1"/>
    <col min="4" max="4" width="13.5703125" style="3" customWidth="1"/>
    <col min="5" max="5" width="10.42578125" style="34" customWidth="1"/>
    <col min="6" max="6" width="14.140625" style="4" customWidth="1"/>
    <col min="7" max="7" width="16.28515625" style="4" customWidth="1"/>
    <col min="8" max="8" width="15.7109375" style="1" customWidth="1"/>
    <col min="9" max="9" width="12.140625" style="19" customWidth="1"/>
    <col min="10" max="12" width="12.140625" style="4" customWidth="1"/>
    <col min="13" max="13" width="12.85546875" style="1" customWidth="1"/>
    <col min="14" max="14" width="11.140625" style="1" customWidth="1"/>
    <col min="15" max="15" width="15.5703125" style="1" customWidth="1"/>
    <col min="16" max="16" width="13.7109375" style="1" customWidth="1"/>
    <col min="17" max="17" width="11.42578125" style="1" customWidth="1"/>
    <col min="18" max="16384" width="11.42578125" style="1"/>
  </cols>
  <sheetData>
    <row r="1" spans="1:39" ht="15.75" x14ac:dyDescent="0.25">
      <c r="A1" s="69" t="s">
        <v>504</v>
      </c>
    </row>
    <row r="2" spans="1:39" ht="16.5" thickBot="1" x14ac:dyDescent="0.3">
      <c r="A2" s="69"/>
      <c r="L2" s="5"/>
    </row>
    <row r="3" spans="1:39" s="36" customFormat="1" ht="26.25" customHeight="1" x14ac:dyDescent="0.2">
      <c r="A3" s="83" t="s">
        <v>0</v>
      </c>
      <c r="B3" s="84" t="s">
        <v>6</v>
      </c>
      <c r="C3" s="85" t="s">
        <v>1</v>
      </c>
      <c r="D3" s="84" t="s">
        <v>27</v>
      </c>
      <c r="E3" s="84" t="s">
        <v>28</v>
      </c>
      <c r="F3" s="84" t="s">
        <v>7</v>
      </c>
      <c r="G3" s="84" t="s">
        <v>8</v>
      </c>
      <c r="H3" s="89" t="s">
        <v>29</v>
      </c>
      <c r="I3" s="86" t="s">
        <v>2</v>
      </c>
      <c r="J3" s="84" t="s">
        <v>3</v>
      </c>
      <c r="K3" s="84" t="s">
        <v>4</v>
      </c>
      <c r="L3" s="160" t="s">
        <v>5</v>
      </c>
      <c r="M3" s="160" t="s">
        <v>9</v>
      </c>
      <c r="N3" s="161" t="s">
        <v>31</v>
      </c>
      <c r="O3" s="161" t="s">
        <v>11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</row>
    <row r="4" spans="1:39" ht="17.25" customHeight="1" x14ac:dyDescent="0.2">
      <c r="A4" s="25"/>
      <c r="B4" s="52"/>
      <c r="C4" s="10"/>
      <c r="D4" s="56"/>
      <c r="E4" s="63"/>
      <c r="F4" s="11"/>
      <c r="G4" s="11"/>
      <c r="H4" s="158"/>
      <c r="I4" s="20">
        <f t="shared" ref="I4:I8" si="0">SUM(F4:H4)</f>
        <v>0</v>
      </c>
      <c r="J4" s="8">
        <f t="shared" ref="J4:J8" si="1">+I4*0.05</f>
        <v>0</v>
      </c>
      <c r="K4" s="8">
        <f t="shared" ref="K4:K8" si="2">+I4*0.09975</f>
        <v>0</v>
      </c>
      <c r="L4" s="92">
        <f t="shared" ref="L4:L8" si="3">SUM(I4:K4)</f>
        <v>0</v>
      </c>
      <c r="M4" s="90">
        <v>0</v>
      </c>
      <c r="N4" s="162">
        <f>+L4-M4</f>
        <v>0</v>
      </c>
      <c r="O4" s="166">
        <v>0</v>
      </c>
      <c r="P4" s="5"/>
    </row>
    <row r="5" spans="1:39" ht="17.25" customHeight="1" x14ac:dyDescent="0.2">
      <c r="A5" s="25"/>
      <c r="B5" s="52" t="s">
        <v>50</v>
      </c>
      <c r="C5" s="10" t="s">
        <v>51</v>
      </c>
      <c r="D5" s="56">
        <v>13</v>
      </c>
      <c r="E5" s="63">
        <v>3.75</v>
      </c>
      <c r="F5" s="11">
        <f>187.5+1468.75</f>
        <v>1656.25</v>
      </c>
      <c r="G5" s="11">
        <f>2025.5-F5</f>
        <v>369.25</v>
      </c>
      <c r="H5" s="158"/>
      <c r="I5" s="20">
        <f t="shared" si="0"/>
        <v>2025.5</v>
      </c>
      <c r="J5" s="8">
        <f t="shared" si="1"/>
        <v>101.27500000000001</v>
      </c>
      <c r="K5" s="8">
        <f t="shared" si="2"/>
        <v>202.04362500000002</v>
      </c>
      <c r="L5" s="92">
        <f t="shared" si="3"/>
        <v>2328.8186249999999</v>
      </c>
      <c r="M5" s="90">
        <v>2328.8186249999999</v>
      </c>
      <c r="N5" s="162">
        <f t="shared" ref="N5:N15" si="4">+L5-M5</f>
        <v>0</v>
      </c>
      <c r="O5" s="166">
        <v>0</v>
      </c>
      <c r="P5" s="5"/>
    </row>
    <row r="6" spans="1:39" ht="17.25" customHeight="1" x14ac:dyDescent="0.2">
      <c r="A6" s="25">
        <v>44109</v>
      </c>
      <c r="B6" s="52" t="s">
        <v>53</v>
      </c>
      <c r="C6" s="10" t="s">
        <v>54</v>
      </c>
      <c r="D6" s="56">
        <v>4</v>
      </c>
      <c r="E6" s="63">
        <v>136.5</v>
      </c>
      <c r="F6" s="11">
        <v>512.5</v>
      </c>
      <c r="G6" s="11">
        <f>9656.75-F6</f>
        <v>9144.25</v>
      </c>
      <c r="H6" s="158">
        <v>200.35</v>
      </c>
      <c r="I6" s="20">
        <f t="shared" si="0"/>
        <v>9857.1</v>
      </c>
      <c r="J6" s="8">
        <f t="shared" si="1"/>
        <v>492.85500000000002</v>
      </c>
      <c r="K6" s="8">
        <f t="shared" si="2"/>
        <v>983.24572500000011</v>
      </c>
      <c r="L6" s="92">
        <f t="shared" si="3"/>
        <v>11333.200725000001</v>
      </c>
      <c r="M6" s="90">
        <v>11333.200725000001</v>
      </c>
      <c r="N6" s="162">
        <f t="shared" si="4"/>
        <v>0</v>
      </c>
      <c r="O6" s="166">
        <v>18750</v>
      </c>
      <c r="P6" s="5"/>
    </row>
    <row r="7" spans="1:39" ht="17.25" customHeight="1" x14ac:dyDescent="0.2">
      <c r="A7" s="25">
        <v>44135</v>
      </c>
      <c r="B7" s="52" t="s">
        <v>70</v>
      </c>
      <c r="C7" s="10" t="s">
        <v>71</v>
      </c>
      <c r="D7" s="56">
        <v>2</v>
      </c>
      <c r="E7" s="63">
        <f>159-D7</f>
        <v>157</v>
      </c>
      <c r="F7" s="11">
        <v>256.25</v>
      </c>
      <c r="G7" s="11">
        <f>10881-F7</f>
        <v>10624.75</v>
      </c>
      <c r="H7" s="158"/>
      <c r="I7" s="20">
        <f t="shared" si="0"/>
        <v>10881</v>
      </c>
      <c r="J7" s="8">
        <f t="shared" si="1"/>
        <v>544.05000000000007</v>
      </c>
      <c r="K7" s="8">
        <f t="shared" si="2"/>
        <v>1085.3797500000001</v>
      </c>
      <c r="L7" s="92">
        <f t="shared" si="3"/>
        <v>12510.429749999999</v>
      </c>
      <c r="M7" s="90">
        <v>12510.429749999999</v>
      </c>
      <c r="N7" s="162">
        <f>+L7-M7</f>
        <v>0</v>
      </c>
      <c r="O7" s="166"/>
      <c r="P7" s="5"/>
    </row>
    <row r="8" spans="1:39" ht="17.25" customHeight="1" x14ac:dyDescent="0.2">
      <c r="A8" s="25">
        <v>44167</v>
      </c>
      <c r="B8" s="52" t="s">
        <v>76</v>
      </c>
      <c r="C8" s="10" t="s">
        <v>77</v>
      </c>
      <c r="D8" s="56">
        <v>3</v>
      </c>
      <c r="E8" s="63">
        <f>185.5-D8</f>
        <v>182.5</v>
      </c>
      <c r="F8" s="11">
        <f>37.5+343.75</f>
        <v>381.25</v>
      </c>
      <c r="G8" s="11">
        <f>12266.7-F8</f>
        <v>11885.45</v>
      </c>
      <c r="H8" s="158"/>
      <c r="I8" s="20">
        <f t="shared" si="0"/>
        <v>12266.7</v>
      </c>
      <c r="J8" s="8">
        <f t="shared" si="1"/>
        <v>613.33500000000004</v>
      </c>
      <c r="K8" s="8">
        <f t="shared" si="2"/>
        <v>1223.603325</v>
      </c>
      <c r="L8" s="92">
        <f t="shared" si="3"/>
        <v>14103.638325</v>
      </c>
      <c r="M8" s="90">
        <v>14103.638325</v>
      </c>
      <c r="N8" s="162">
        <f t="shared" si="4"/>
        <v>0</v>
      </c>
      <c r="O8" s="166"/>
      <c r="P8" s="5"/>
    </row>
    <row r="9" spans="1:39" ht="17.25" customHeight="1" x14ac:dyDescent="0.2">
      <c r="A9" s="25">
        <v>43841</v>
      </c>
      <c r="B9" s="52" t="s">
        <v>83</v>
      </c>
      <c r="C9" s="10" t="s">
        <v>84</v>
      </c>
      <c r="D9" s="56">
        <v>2</v>
      </c>
      <c r="E9" s="63">
        <f>220.75-D9</f>
        <v>218.75</v>
      </c>
      <c r="F9" s="11">
        <v>256.25</v>
      </c>
      <c r="G9" s="11">
        <f>12953.29-F9</f>
        <v>12697.04</v>
      </c>
      <c r="H9" s="158"/>
      <c r="I9" s="20">
        <f>SUM(F9:H9)</f>
        <v>12953.29</v>
      </c>
      <c r="J9" s="8">
        <f>+I9*0.05</f>
        <v>647.66450000000009</v>
      </c>
      <c r="K9" s="8">
        <f>+I9*0.09975</f>
        <v>1292.0906775000001</v>
      </c>
      <c r="L9" s="92">
        <f>SUM(I9:K9)</f>
        <v>14893.045177500002</v>
      </c>
      <c r="M9" s="90">
        <v>14893.045177500002</v>
      </c>
      <c r="N9" s="162">
        <f t="shared" si="4"/>
        <v>0</v>
      </c>
      <c r="O9" s="166"/>
      <c r="P9" s="5"/>
    </row>
    <row r="10" spans="1:39" ht="17.25" customHeight="1" x14ac:dyDescent="0.2">
      <c r="A10" s="25">
        <v>44242</v>
      </c>
      <c r="B10" s="52" t="s">
        <v>98</v>
      </c>
      <c r="C10" s="10" t="s">
        <v>99</v>
      </c>
      <c r="D10" s="56">
        <v>2</v>
      </c>
      <c r="E10" s="63">
        <f>290-D10</f>
        <v>288</v>
      </c>
      <c r="F10" s="11">
        <v>250</v>
      </c>
      <c r="G10" s="11">
        <f>17948.5-F10</f>
        <v>17698.5</v>
      </c>
      <c r="H10" s="158"/>
      <c r="I10" s="20">
        <f t="shared" ref="I10:I34" si="5">SUM(F10:H10)</f>
        <v>17948.5</v>
      </c>
      <c r="J10" s="8">
        <f t="shared" ref="J10:J35" si="6">+I10*0.05</f>
        <v>897.42500000000007</v>
      </c>
      <c r="K10" s="8">
        <f t="shared" ref="K10:K35" si="7">+I10*0.09975</f>
        <v>1790.362875</v>
      </c>
      <c r="L10" s="92">
        <f t="shared" ref="L10:L35" si="8">SUM(I10:K10)</f>
        <v>20636.287874999998</v>
      </c>
      <c r="M10" s="90">
        <v>20636.287874999998</v>
      </c>
      <c r="N10" s="162">
        <f t="shared" si="4"/>
        <v>0</v>
      </c>
      <c r="O10" s="166"/>
      <c r="P10" s="5"/>
    </row>
    <row r="11" spans="1:39" ht="17.25" customHeight="1" x14ac:dyDescent="0.2">
      <c r="A11" s="25">
        <v>44259</v>
      </c>
      <c r="B11" s="52" t="s">
        <v>104</v>
      </c>
      <c r="C11" s="10" t="s">
        <v>105</v>
      </c>
      <c r="D11" s="56">
        <v>9</v>
      </c>
      <c r="E11" s="63">
        <f>277-D11</f>
        <v>268</v>
      </c>
      <c r="F11" s="11">
        <f>150+1000</f>
        <v>1150</v>
      </c>
      <c r="G11" s="11">
        <f>18084.05-F11</f>
        <v>16934.05</v>
      </c>
      <c r="H11" s="158"/>
      <c r="I11" s="20">
        <f t="shared" si="5"/>
        <v>18084.05</v>
      </c>
      <c r="J11" s="8">
        <f t="shared" si="6"/>
        <v>904.20249999999999</v>
      </c>
      <c r="K11" s="8">
        <f t="shared" si="7"/>
        <v>1803.8839875000001</v>
      </c>
      <c r="L11" s="92">
        <f>SUM(I11:K11)-0.01</f>
        <v>20792.126487500002</v>
      </c>
      <c r="M11" s="90">
        <v>20792.126487500002</v>
      </c>
      <c r="N11" s="162">
        <f t="shared" si="4"/>
        <v>0</v>
      </c>
      <c r="O11" s="166">
        <v>81250</v>
      </c>
      <c r="P11" s="5"/>
    </row>
    <row r="12" spans="1:39" ht="17.25" customHeight="1" x14ac:dyDescent="0.2">
      <c r="A12" s="25">
        <v>44294</v>
      </c>
      <c r="B12" s="52" t="s">
        <v>110</v>
      </c>
      <c r="C12" s="10" t="s">
        <v>111</v>
      </c>
      <c r="D12" s="56">
        <v>0</v>
      </c>
      <c r="E12" s="63">
        <v>310.5</v>
      </c>
      <c r="F12" s="11">
        <v>0</v>
      </c>
      <c r="G12" s="11">
        <v>19233.939999999999</v>
      </c>
      <c r="H12" s="158">
        <v>163.65</v>
      </c>
      <c r="I12" s="20">
        <f t="shared" si="5"/>
        <v>19397.59</v>
      </c>
      <c r="J12" s="8">
        <f t="shared" si="6"/>
        <v>969.87950000000001</v>
      </c>
      <c r="K12" s="8">
        <f t="shared" si="7"/>
        <v>1934.9096025000001</v>
      </c>
      <c r="L12" s="92">
        <f t="shared" si="8"/>
        <v>22302.379102499999</v>
      </c>
      <c r="M12" s="90">
        <v>22302.379102499999</v>
      </c>
      <c r="N12" s="162">
        <f t="shared" si="4"/>
        <v>0</v>
      </c>
      <c r="O12" s="166">
        <v>42000</v>
      </c>
      <c r="P12" s="5"/>
    </row>
    <row r="13" spans="1:39" ht="17.25" hidden="1" customHeight="1" x14ac:dyDescent="0.2">
      <c r="A13" s="25"/>
      <c r="B13" s="52"/>
      <c r="C13" s="10"/>
      <c r="D13" s="56"/>
      <c r="E13" s="63"/>
      <c r="F13" s="11"/>
      <c r="G13" s="11"/>
      <c r="H13" s="158"/>
      <c r="I13" s="20">
        <f t="shared" si="5"/>
        <v>0</v>
      </c>
      <c r="J13" s="8">
        <f t="shared" si="6"/>
        <v>0</v>
      </c>
      <c r="K13" s="8">
        <f t="shared" si="7"/>
        <v>0</v>
      </c>
      <c r="L13" s="92">
        <f t="shared" si="8"/>
        <v>0</v>
      </c>
      <c r="M13" s="90"/>
      <c r="N13" s="162">
        <f t="shared" si="4"/>
        <v>0</v>
      </c>
      <c r="O13" s="166"/>
      <c r="P13" s="5"/>
    </row>
    <row r="14" spans="1:39" ht="17.25" hidden="1" customHeight="1" x14ac:dyDescent="0.2">
      <c r="A14" s="25"/>
      <c r="B14" s="52"/>
      <c r="C14" s="10"/>
      <c r="D14" s="56"/>
      <c r="E14" s="63"/>
      <c r="F14" s="11"/>
      <c r="G14" s="11"/>
      <c r="H14" s="158"/>
      <c r="I14" s="20"/>
      <c r="J14" s="8"/>
      <c r="K14" s="8"/>
      <c r="L14" s="92"/>
      <c r="M14" s="90"/>
      <c r="N14" s="162">
        <f t="shared" si="4"/>
        <v>0</v>
      </c>
      <c r="O14" s="166"/>
      <c r="P14" s="5"/>
    </row>
    <row r="15" spans="1:39" ht="17.25" hidden="1" customHeight="1" x14ac:dyDescent="0.2">
      <c r="A15" s="25"/>
      <c r="B15" s="52"/>
      <c r="C15" s="10"/>
      <c r="D15" s="56"/>
      <c r="E15" s="63"/>
      <c r="F15" s="11"/>
      <c r="G15" s="11"/>
      <c r="H15" s="158"/>
      <c r="I15" s="20">
        <f t="shared" si="5"/>
        <v>0</v>
      </c>
      <c r="J15" s="8">
        <f t="shared" si="6"/>
        <v>0</v>
      </c>
      <c r="K15" s="8">
        <f t="shared" si="7"/>
        <v>0</v>
      </c>
      <c r="L15" s="92">
        <f t="shared" si="8"/>
        <v>0</v>
      </c>
      <c r="M15" s="90"/>
      <c r="N15" s="162">
        <f t="shared" si="4"/>
        <v>0</v>
      </c>
      <c r="O15" s="166"/>
      <c r="P15" s="5"/>
    </row>
    <row r="16" spans="1:39" ht="17.25" hidden="1" customHeight="1" x14ac:dyDescent="0.2">
      <c r="A16" s="25"/>
      <c r="B16" s="52"/>
      <c r="C16" s="10"/>
      <c r="D16" s="56"/>
      <c r="E16" s="63"/>
      <c r="F16" s="11"/>
      <c r="G16" s="11"/>
      <c r="H16" s="158"/>
      <c r="I16" s="20">
        <f>SUM(F16:H16)</f>
        <v>0</v>
      </c>
      <c r="J16" s="8">
        <f>+I16*0.05</f>
        <v>0</v>
      </c>
      <c r="K16" s="8">
        <f>+I16*0.09975</f>
        <v>0</v>
      </c>
      <c r="L16" s="92">
        <f>SUM(I16:K16)</f>
        <v>0</v>
      </c>
      <c r="M16" s="90"/>
      <c r="N16" s="162">
        <f>+L16-M16</f>
        <v>0</v>
      </c>
      <c r="O16" s="166"/>
      <c r="P16" s="5"/>
    </row>
    <row r="17" spans="1:16" ht="17.25" hidden="1" customHeight="1" x14ac:dyDescent="0.2">
      <c r="A17" s="25"/>
      <c r="B17" s="52"/>
      <c r="C17" s="10"/>
      <c r="D17" s="56"/>
      <c r="E17" s="63"/>
      <c r="F17" s="11"/>
      <c r="G17" s="11"/>
      <c r="H17" s="158"/>
      <c r="I17" s="20">
        <f t="shared" si="5"/>
        <v>0</v>
      </c>
      <c r="J17" s="8">
        <f t="shared" si="6"/>
        <v>0</v>
      </c>
      <c r="K17" s="8">
        <f t="shared" si="7"/>
        <v>0</v>
      </c>
      <c r="L17" s="92">
        <f t="shared" si="8"/>
        <v>0</v>
      </c>
      <c r="M17" s="90"/>
      <c r="N17" s="162">
        <f t="shared" ref="N17:N35" si="9">+L17-M17</f>
        <v>0</v>
      </c>
      <c r="O17" s="166"/>
      <c r="P17" s="5"/>
    </row>
    <row r="18" spans="1:16" ht="17.25" hidden="1" customHeight="1" x14ac:dyDescent="0.2">
      <c r="A18" s="25"/>
      <c r="B18" s="52"/>
      <c r="C18" s="10"/>
      <c r="D18" s="56"/>
      <c r="E18" s="63"/>
      <c r="F18" s="11"/>
      <c r="G18" s="11"/>
      <c r="H18" s="158"/>
      <c r="I18" s="20">
        <f t="shared" si="5"/>
        <v>0</v>
      </c>
      <c r="J18" s="8">
        <f t="shared" si="6"/>
        <v>0</v>
      </c>
      <c r="K18" s="8">
        <f t="shared" si="7"/>
        <v>0</v>
      </c>
      <c r="L18" s="92">
        <f t="shared" si="8"/>
        <v>0</v>
      </c>
      <c r="M18" s="90"/>
      <c r="N18" s="162">
        <f t="shared" si="9"/>
        <v>0</v>
      </c>
      <c r="O18" s="167"/>
      <c r="P18" s="5"/>
    </row>
    <row r="19" spans="1:16" ht="17.25" hidden="1" customHeight="1" x14ac:dyDescent="0.2">
      <c r="A19" s="25"/>
      <c r="B19" s="52"/>
      <c r="C19" s="10"/>
      <c r="D19" s="56"/>
      <c r="E19" s="63"/>
      <c r="F19" s="11"/>
      <c r="G19" s="11"/>
      <c r="H19" s="158"/>
      <c r="I19" s="20">
        <f t="shared" si="5"/>
        <v>0</v>
      </c>
      <c r="J19" s="8">
        <f t="shared" si="6"/>
        <v>0</v>
      </c>
      <c r="K19" s="8">
        <f t="shared" si="7"/>
        <v>0</v>
      </c>
      <c r="L19" s="92">
        <f>SUM(I19:K19)</f>
        <v>0</v>
      </c>
      <c r="M19" s="90"/>
      <c r="N19" s="162">
        <f t="shared" si="9"/>
        <v>0</v>
      </c>
      <c r="O19" s="166"/>
      <c r="P19" s="5"/>
    </row>
    <row r="20" spans="1:16" ht="17.25" hidden="1" customHeight="1" x14ac:dyDescent="0.2">
      <c r="A20" s="25"/>
      <c r="B20" s="52"/>
      <c r="C20" s="10"/>
      <c r="D20" s="56"/>
      <c r="E20" s="63"/>
      <c r="F20" s="11"/>
      <c r="G20" s="11"/>
      <c r="H20" s="158"/>
      <c r="I20" s="20">
        <f>SUM(F20:H20)</f>
        <v>0</v>
      </c>
      <c r="J20" s="8">
        <f t="shared" si="6"/>
        <v>0</v>
      </c>
      <c r="K20" s="8">
        <f t="shared" si="7"/>
        <v>0</v>
      </c>
      <c r="L20" s="92">
        <f t="shared" si="8"/>
        <v>0</v>
      </c>
      <c r="M20" s="90"/>
      <c r="N20" s="162">
        <f t="shared" si="9"/>
        <v>0</v>
      </c>
      <c r="O20" s="166"/>
      <c r="P20" s="5"/>
    </row>
    <row r="21" spans="1:16" ht="17.25" hidden="1" customHeight="1" x14ac:dyDescent="0.2">
      <c r="A21" s="25"/>
      <c r="B21" s="52"/>
      <c r="C21" s="10"/>
      <c r="D21" s="56"/>
      <c r="E21" s="63"/>
      <c r="F21" s="11"/>
      <c r="G21" s="11"/>
      <c r="H21" s="158"/>
      <c r="I21" s="20">
        <f t="shared" si="5"/>
        <v>0</v>
      </c>
      <c r="J21" s="8">
        <f t="shared" si="6"/>
        <v>0</v>
      </c>
      <c r="K21" s="8">
        <f t="shared" si="7"/>
        <v>0</v>
      </c>
      <c r="L21" s="92">
        <f t="shared" si="8"/>
        <v>0</v>
      </c>
      <c r="M21" s="90"/>
      <c r="N21" s="162">
        <f t="shared" si="9"/>
        <v>0</v>
      </c>
      <c r="O21" s="166"/>
      <c r="P21" s="5"/>
    </row>
    <row r="22" spans="1:16" ht="17.25" hidden="1" customHeight="1" x14ac:dyDescent="0.2">
      <c r="A22" s="25"/>
      <c r="B22" s="52"/>
      <c r="C22" s="10"/>
      <c r="D22" s="56"/>
      <c r="E22" s="63"/>
      <c r="F22" s="11"/>
      <c r="G22" s="11"/>
      <c r="H22" s="158"/>
      <c r="I22" s="20">
        <f t="shared" si="5"/>
        <v>0</v>
      </c>
      <c r="J22" s="8">
        <f t="shared" si="6"/>
        <v>0</v>
      </c>
      <c r="K22" s="8">
        <f t="shared" si="7"/>
        <v>0</v>
      </c>
      <c r="L22" s="92">
        <f t="shared" si="8"/>
        <v>0</v>
      </c>
      <c r="M22" s="90"/>
      <c r="N22" s="162">
        <f t="shared" si="9"/>
        <v>0</v>
      </c>
      <c r="O22" s="166"/>
      <c r="P22" s="5"/>
    </row>
    <row r="23" spans="1:16" ht="17.25" hidden="1" customHeight="1" x14ac:dyDescent="0.2">
      <c r="A23" s="25"/>
      <c r="B23" s="52"/>
      <c r="C23" s="10"/>
      <c r="D23" s="56"/>
      <c r="E23" s="63"/>
      <c r="F23" s="11"/>
      <c r="G23" s="11"/>
      <c r="H23" s="158"/>
      <c r="I23" s="20">
        <f t="shared" si="5"/>
        <v>0</v>
      </c>
      <c r="J23" s="8">
        <f t="shared" si="6"/>
        <v>0</v>
      </c>
      <c r="K23" s="8">
        <f t="shared" si="7"/>
        <v>0</v>
      </c>
      <c r="L23" s="92">
        <f t="shared" si="8"/>
        <v>0</v>
      </c>
      <c r="M23" s="90"/>
      <c r="N23" s="162">
        <f t="shared" si="9"/>
        <v>0</v>
      </c>
      <c r="O23" s="166"/>
      <c r="P23" s="5"/>
    </row>
    <row r="24" spans="1:16" ht="17.25" hidden="1" customHeight="1" x14ac:dyDescent="0.2">
      <c r="A24" s="25"/>
      <c r="B24" s="52"/>
      <c r="C24" s="10"/>
      <c r="D24" s="56"/>
      <c r="E24" s="63"/>
      <c r="F24" s="11"/>
      <c r="G24" s="11"/>
      <c r="H24" s="158"/>
      <c r="I24" s="20">
        <f t="shared" si="5"/>
        <v>0</v>
      </c>
      <c r="J24" s="8">
        <f t="shared" si="6"/>
        <v>0</v>
      </c>
      <c r="K24" s="8">
        <f t="shared" si="7"/>
        <v>0</v>
      </c>
      <c r="L24" s="92">
        <f t="shared" si="8"/>
        <v>0</v>
      </c>
      <c r="M24" s="90"/>
      <c r="N24" s="162">
        <f t="shared" si="9"/>
        <v>0</v>
      </c>
      <c r="O24" s="166"/>
      <c r="P24" s="5"/>
    </row>
    <row r="25" spans="1:16" ht="17.25" hidden="1" customHeight="1" x14ac:dyDescent="0.2">
      <c r="A25" s="25"/>
      <c r="B25" s="52"/>
      <c r="C25" s="10"/>
      <c r="D25" s="56"/>
      <c r="E25" s="63"/>
      <c r="F25" s="11"/>
      <c r="G25" s="11"/>
      <c r="H25" s="158"/>
      <c r="I25" s="20">
        <f t="shared" si="5"/>
        <v>0</v>
      </c>
      <c r="J25" s="8">
        <f t="shared" si="6"/>
        <v>0</v>
      </c>
      <c r="K25" s="8">
        <f t="shared" si="7"/>
        <v>0</v>
      </c>
      <c r="L25" s="92">
        <f t="shared" si="8"/>
        <v>0</v>
      </c>
      <c r="M25" s="90"/>
      <c r="N25" s="162">
        <f>+L25-M25</f>
        <v>0</v>
      </c>
      <c r="O25" s="166"/>
      <c r="P25" s="5"/>
    </row>
    <row r="26" spans="1:16" ht="17.25" hidden="1" customHeight="1" x14ac:dyDescent="0.2">
      <c r="A26" s="25"/>
      <c r="B26" s="52"/>
      <c r="C26" s="10"/>
      <c r="D26" s="56"/>
      <c r="E26" s="63"/>
      <c r="F26" s="11"/>
      <c r="G26" s="11"/>
      <c r="H26" s="158"/>
      <c r="I26" s="20">
        <f t="shared" si="5"/>
        <v>0</v>
      </c>
      <c r="J26" s="8">
        <f t="shared" si="6"/>
        <v>0</v>
      </c>
      <c r="K26" s="8">
        <f t="shared" si="7"/>
        <v>0</v>
      </c>
      <c r="L26" s="92">
        <f t="shared" si="8"/>
        <v>0</v>
      </c>
      <c r="M26" s="90"/>
      <c r="N26" s="162">
        <f t="shared" si="9"/>
        <v>0</v>
      </c>
      <c r="O26" s="166"/>
      <c r="P26" s="5"/>
    </row>
    <row r="27" spans="1:16" ht="17.25" hidden="1" customHeight="1" x14ac:dyDescent="0.2">
      <c r="A27" s="25"/>
      <c r="B27" s="52"/>
      <c r="C27" s="10"/>
      <c r="D27" s="56"/>
      <c r="E27" s="63"/>
      <c r="F27" s="11"/>
      <c r="G27" s="11"/>
      <c r="H27" s="158"/>
      <c r="I27" s="20">
        <f t="shared" si="5"/>
        <v>0</v>
      </c>
      <c r="J27" s="8">
        <f t="shared" si="6"/>
        <v>0</v>
      </c>
      <c r="K27" s="8">
        <f t="shared" si="7"/>
        <v>0</v>
      </c>
      <c r="L27" s="92">
        <f t="shared" si="8"/>
        <v>0</v>
      </c>
      <c r="M27" s="90"/>
      <c r="N27" s="162">
        <f t="shared" si="9"/>
        <v>0</v>
      </c>
      <c r="O27" s="166"/>
      <c r="P27" s="5"/>
    </row>
    <row r="28" spans="1:16" ht="17.25" hidden="1" customHeight="1" x14ac:dyDescent="0.2">
      <c r="A28" s="25"/>
      <c r="B28" s="52"/>
      <c r="C28" s="10"/>
      <c r="D28" s="56"/>
      <c r="E28" s="63"/>
      <c r="F28" s="11"/>
      <c r="G28" s="11"/>
      <c r="H28" s="158"/>
      <c r="I28" s="20">
        <f t="shared" si="5"/>
        <v>0</v>
      </c>
      <c r="J28" s="8">
        <f t="shared" si="6"/>
        <v>0</v>
      </c>
      <c r="K28" s="8">
        <f t="shared" si="7"/>
        <v>0</v>
      </c>
      <c r="L28" s="92">
        <f t="shared" si="8"/>
        <v>0</v>
      </c>
      <c r="M28" s="90"/>
      <c r="N28" s="162">
        <f t="shared" si="9"/>
        <v>0</v>
      </c>
      <c r="O28" s="166"/>
      <c r="P28" s="5"/>
    </row>
    <row r="29" spans="1:16" ht="17.25" hidden="1" customHeight="1" x14ac:dyDescent="0.2">
      <c r="A29" s="25"/>
      <c r="B29" s="52"/>
      <c r="C29" s="10"/>
      <c r="D29" s="56"/>
      <c r="E29" s="63"/>
      <c r="F29" s="11"/>
      <c r="G29" s="11"/>
      <c r="H29" s="158"/>
      <c r="I29" s="20">
        <f t="shared" si="5"/>
        <v>0</v>
      </c>
      <c r="J29" s="8">
        <f t="shared" si="6"/>
        <v>0</v>
      </c>
      <c r="K29" s="8">
        <f t="shared" si="7"/>
        <v>0</v>
      </c>
      <c r="L29" s="92">
        <f t="shared" si="8"/>
        <v>0</v>
      </c>
      <c r="M29" s="90"/>
      <c r="N29" s="162">
        <f t="shared" si="9"/>
        <v>0</v>
      </c>
      <c r="O29" s="166"/>
      <c r="P29" s="88"/>
    </row>
    <row r="30" spans="1:16" ht="17.25" hidden="1" customHeight="1" x14ac:dyDescent="0.2">
      <c r="A30" s="25"/>
      <c r="B30" s="52"/>
      <c r="C30" s="10"/>
      <c r="D30" s="56"/>
      <c r="E30" s="63"/>
      <c r="F30" s="11"/>
      <c r="G30" s="11"/>
      <c r="H30" s="158"/>
      <c r="I30" s="20">
        <f t="shared" si="5"/>
        <v>0</v>
      </c>
      <c r="J30" s="8">
        <f t="shared" si="6"/>
        <v>0</v>
      </c>
      <c r="K30" s="8">
        <f t="shared" si="7"/>
        <v>0</v>
      </c>
      <c r="L30" s="92">
        <f t="shared" si="8"/>
        <v>0</v>
      </c>
      <c r="M30" s="90"/>
      <c r="N30" s="162">
        <f t="shared" si="9"/>
        <v>0</v>
      </c>
      <c r="O30" s="166"/>
      <c r="P30" s="88"/>
    </row>
    <row r="31" spans="1:16" ht="16.5" hidden="1" customHeight="1" x14ac:dyDescent="0.2">
      <c r="A31" s="25"/>
      <c r="B31" s="52"/>
      <c r="C31" s="10"/>
      <c r="D31" s="56"/>
      <c r="E31" s="63"/>
      <c r="F31" s="11"/>
      <c r="G31" s="11"/>
      <c r="H31" s="158"/>
      <c r="I31" s="20">
        <f>SUM(F31:H31)</f>
        <v>0</v>
      </c>
      <c r="J31" s="8">
        <f t="shared" si="6"/>
        <v>0</v>
      </c>
      <c r="K31" s="8">
        <f t="shared" si="7"/>
        <v>0</v>
      </c>
      <c r="L31" s="92">
        <f t="shared" si="8"/>
        <v>0</v>
      </c>
      <c r="M31" s="90"/>
      <c r="N31" s="162">
        <f t="shared" si="9"/>
        <v>0</v>
      </c>
      <c r="O31" s="166"/>
      <c r="P31" s="88"/>
    </row>
    <row r="32" spans="1:16" ht="17.25" hidden="1" customHeight="1" x14ac:dyDescent="0.2">
      <c r="A32" s="25"/>
      <c r="B32" s="52"/>
      <c r="C32" s="10"/>
      <c r="D32" s="56"/>
      <c r="E32" s="63"/>
      <c r="F32" s="11"/>
      <c r="G32" s="11"/>
      <c r="H32" s="158"/>
      <c r="I32" s="20">
        <f t="shared" si="5"/>
        <v>0</v>
      </c>
      <c r="J32" s="8">
        <f t="shared" si="6"/>
        <v>0</v>
      </c>
      <c r="K32" s="8">
        <f t="shared" si="7"/>
        <v>0</v>
      </c>
      <c r="L32" s="92">
        <f t="shared" si="8"/>
        <v>0</v>
      </c>
      <c r="M32" s="90"/>
      <c r="N32" s="162">
        <f t="shared" si="9"/>
        <v>0</v>
      </c>
      <c r="O32" s="166"/>
      <c r="P32" s="88"/>
    </row>
    <row r="33" spans="1:16" ht="17.25" hidden="1" customHeight="1" x14ac:dyDescent="0.2">
      <c r="A33" s="25"/>
      <c r="B33" s="52"/>
      <c r="C33" s="10"/>
      <c r="D33" s="56"/>
      <c r="E33" s="63"/>
      <c r="F33" s="11"/>
      <c r="G33" s="11"/>
      <c r="H33" s="158"/>
      <c r="I33" s="20">
        <f t="shared" si="5"/>
        <v>0</v>
      </c>
      <c r="J33" s="8">
        <f t="shared" si="6"/>
        <v>0</v>
      </c>
      <c r="K33" s="8">
        <f t="shared" si="7"/>
        <v>0</v>
      </c>
      <c r="L33" s="92">
        <f t="shared" si="8"/>
        <v>0</v>
      </c>
      <c r="M33" s="90"/>
      <c r="N33" s="162">
        <f t="shared" si="9"/>
        <v>0</v>
      </c>
      <c r="O33" s="166"/>
      <c r="P33" s="88"/>
    </row>
    <row r="34" spans="1:16" ht="17.25" hidden="1" customHeight="1" x14ac:dyDescent="0.2">
      <c r="A34" s="25"/>
      <c r="B34" s="52"/>
      <c r="C34" s="10"/>
      <c r="D34" s="56"/>
      <c r="E34" s="63"/>
      <c r="F34" s="11"/>
      <c r="G34" s="11"/>
      <c r="H34" s="158"/>
      <c r="I34" s="20">
        <f t="shared" si="5"/>
        <v>0</v>
      </c>
      <c r="J34" s="8">
        <f t="shared" si="6"/>
        <v>0</v>
      </c>
      <c r="K34" s="8">
        <f t="shared" si="7"/>
        <v>0</v>
      </c>
      <c r="L34" s="92">
        <f t="shared" si="8"/>
        <v>0</v>
      </c>
      <c r="M34" s="90"/>
      <c r="N34" s="162">
        <f t="shared" si="9"/>
        <v>0</v>
      </c>
      <c r="O34" s="166"/>
      <c r="P34" s="88"/>
    </row>
    <row r="35" spans="1:16" ht="17.25" hidden="1" customHeight="1" x14ac:dyDescent="0.2">
      <c r="A35" s="25"/>
      <c r="B35" s="52"/>
      <c r="C35" s="10"/>
      <c r="D35" s="56"/>
      <c r="E35" s="63"/>
      <c r="F35" s="11"/>
      <c r="G35" s="11"/>
      <c r="H35" s="158"/>
      <c r="I35" s="20">
        <f>SUM(F35:H35)</f>
        <v>0</v>
      </c>
      <c r="J35" s="8">
        <f t="shared" si="6"/>
        <v>0</v>
      </c>
      <c r="K35" s="8">
        <f t="shared" si="7"/>
        <v>0</v>
      </c>
      <c r="L35" s="92">
        <f t="shared" si="8"/>
        <v>0</v>
      </c>
      <c r="M35" s="90"/>
      <c r="N35" s="162">
        <f t="shared" si="9"/>
        <v>0</v>
      </c>
      <c r="O35" s="166"/>
      <c r="P35" s="88"/>
    </row>
    <row r="36" spans="1:16" ht="18.75" customHeight="1" thickBot="1" x14ac:dyDescent="0.25">
      <c r="A36" s="24"/>
      <c r="B36" s="24"/>
      <c r="C36" s="24"/>
      <c r="D36" s="81">
        <f t="shared" ref="D36:M36" si="10">SUM(D4:D35)</f>
        <v>35</v>
      </c>
      <c r="E36" s="81">
        <f t="shared" si="10"/>
        <v>1565</v>
      </c>
      <c r="F36" s="24">
        <f t="shared" si="10"/>
        <v>4462.5</v>
      </c>
      <c r="G36" s="24">
        <f t="shared" si="10"/>
        <v>98587.23000000001</v>
      </c>
      <c r="H36" s="159">
        <f t="shared" si="10"/>
        <v>364</v>
      </c>
      <c r="I36" s="24">
        <f t="shared" si="10"/>
        <v>103413.73</v>
      </c>
      <c r="J36" s="24">
        <f t="shared" si="10"/>
        <v>5170.6865000000007</v>
      </c>
      <c r="K36" s="24">
        <f t="shared" si="10"/>
        <v>10315.5195675</v>
      </c>
      <c r="L36" s="91">
        <f t="shared" si="10"/>
        <v>118899.9260675</v>
      </c>
      <c r="M36" s="91">
        <f t="shared" si="10"/>
        <v>118899.9260675</v>
      </c>
      <c r="N36" s="159">
        <f>SUM(N4:N35)</f>
        <v>0</v>
      </c>
      <c r="O36" s="159">
        <f>SUM(O5:O35)</f>
        <v>142000</v>
      </c>
    </row>
    <row r="37" spans="1:16" ht="18.75" customHeight="1" thickTop="1" x14ac:dyDescent="0.2">
      <c r="C37" s="10"/>
      <c r="D37" s="10"/>
      <c r="E37" s="63">
        <f>+E36+D36</f>
        <v>1600</v>
      </c>
      <c r="F37" s="11"/>
      <c r="G37" s="11"/>
      <c r="H37" s="29"/>
      <c r="I37" s="21"/>
      <c r="J37" s="11"/>
      <c r="K37" s="11"/>
      <c r="L37" s="11"/>
      <c r="M37" s="9"/>
    </row>
    <row r="38" spans="1:16" x14ac:dyDescent="0.2">
      <c r="C38" s="10"/>
      <c r="D38" s="10"/>
      <c r="E38" s="35"/>
      <c r="G38" s="28"/>
      <c r="I38" s="16"/>
    </row>
    <row r="39" spans="1:16" x14ac:dyDescent="0.2">
      <c r="C39" s="10"/>
      <c r="D39" s="10"/>
      <c r="E39" s="35"/>
      <c r="H39" s="9"/>
      <c r="I39" s="16"/>
      <c r="O39" s="9"/>
    </row>
    <row r="40" spans="1:16" x14ac:dyDescent="0.2">
      <c r="C40" s="10"/>
      <c r="D40" s="10"/>
      <c r="E40" s="35"/>
      <c r="I40" s="15"/>
    </row>
    <row r="41" spans="1:16" x14ac:dyDescent="0.2">
      <c r="C41" s="10"/>
      <c r="D41" s="10"/>
      <c r="E41" s="35"/>
      <c r="H41" s="5"/>
      <c r="I41" s="22"/>
    </row>
    <row r="42" spans="1:16" x14ac:dyDescent="0.2">
      <c r="C42" s="10"/>
      <c r="D42" s="10"/>
      <c r="E42" s="35"/>
      <c r="H42" s="9"/>
      <c r="I42" s="22"/>
    </row>
    <row r="43" spans="1:16" x14ac:dyDescent="0.2">
      <c r="B43" s="17"/>
      <c r="H43" s="4"/>
      <c r="I43" s="4"/>
      <c r="J43" s="1"/>
      <c r="K43" s="1"/>
      <c r="L43" s="1"/>
    </row>
    <row r="44" spans="1:16" x14ac:dyDescent="0.2">
      <c r="B44" s="55"/>
      <c r="H44" s="4"/>
      <c r="I44" s="4"/>
      <c r="J44" s="1"/>
      <c r="K44" s="1"/>
      <c r="L44" s="1"/>
    </row>
    <row r="45" spans="1:16" x14ac:dyDescent="0.2">
      <c r="B45" s="17"/>
      <c r="H45" s="4"/>
      <c r="I45" s="82"/>
      <c r="J45" s="1"/>
      <c r="K45" s="1"/>
      <c r="L45" s="1"/>
    </row>
    <row r="46" spans="1:16" x14ac:dyDescent="0.2">
      <c r="H46" s="4"/>
      <c r="I46" s="82"/>
      <c r="J46" s="1"/>
      <c r="K46" s="1"/>
      <c r="L46" s="1"/>
    </row>
    <row r="47" spans="1:16" x14ac:dyDescent="0.2">
      <c r="H47" s="4"/>
      <c r="I47" s="4"/>
      <c r="J47" s="1"/>
      <c r="K47" s="1"/>
      <c r="L47" s="1"/>
    </row>
    <row r="48" spans="1:16" x14ac:dyDescent="0.2">
      <c r="B48" s="55"/>
      <c r="H48" s="4"/>
      <c r="I48" s="4"/>
      <c r="J48" s="1"/>
      <c r="K48" s="1"/>
      <c r="L48" s="1"/>
    </row>
    <row r="49" spans="2:12" x14ac:dyDescent="0.2">
      <c r="B49" s="17"/>
      <c r="H49" s="4"/>
      <c r="I49" s="4"/>
      <c r="J49" s="1"/>
      <c r="K49" s="1"/>
      <c r="L49" s="1"/>
    </row>
    <row r="50" spans="2:12" x14ac:dyDescent="0.2">
      <c r="H50" s="4"/>
      <c r="I50" s="16"/>
    </row>
    <row r="51" spans="2:12" x14ac:dyDescent="0.2">
      <c r="I51" s="15"/>
    </row>
    <row r="52" spans="2:12" x14ac:dyDescent="0.2">
      <c r="I52" s="23"/>
    </row>
    <row r="54" spans="2:12" x14ac:dyDescent="0.2">
      <c r="H54" s="13"/>
    </row>
    <row r="56" spans="2:12" x14ac:dyDescent="0.2">
      <c r="I56" s="15"/>
    </row>
    <row r="57" spans="2:12" x14ac:dyDescent="0.2">
      <c r="I57" s="15"/>
    </row>
    <row r="60" spans="2:12" x14ac:dyDescent="0.2">
      <c r="H60" s="13"/>
      <c r="I60" s="23"/>
    </row>
  </sheetData>
  <phoneticPr fontId="48" type="noConversion"/>
  <pageMargins left="0" right="0" top="0.19685039370078741" bottom="0" header="0.39370078740157483" footer="0.15748031496062992"/>
  <pageSetup scale="67" orientation="landscape" cellComments="asDisplayed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B5FD-EC9C-45DC-B633-FE67C5762C2B}">
  <sheetPr>
    <pageSetUpPr fitToPage="1"/>
  </sheetPr>
  <dimension ref="A1:AM93"/>
  <sheetViews>
    <sheetView showGridLines="0" topLeftCell="A66" zoomScaleNormal="100" workbookViewId="0">
      <selection activeCell="M62" sqref="M62"/>
    </sheetView>
  </sheetViews>
  <sheetFormatPr baseColWidth="10" defaultColWidth="11.42578125" defaultRowHeight="12.75" x14ac:dyDescent="0.2"/>
  <cols>
    <col min="1" max="1" width="12.42578125" style="14" customWidth="1"/>
    <col min="2" max="2" width="27" style="51" customWidth="1"/>
    <col min="3" max="3" width="13.5703125" style="65" customWidth="1"/>
    <col min="4" max="4" width="13.5703125" style="3" customWidth="1"/>
    <col min="5" max="5" width="10.42578125" style="34" customWidth="1"/>
    <col min="6" max="6" width="14.140625" style="4" customWidth="1"/>
    <col min="7" max="7" width="16.28515625" style="4" customWidth="1"/>
    <col min="8" max="8" width="15.7109375" style="1" customWidth="1"/>
    <col min="9" max="9" width="12.140625" style="19" customWidth="1"/>
    <col min="10" max="12" width="12.140625" style="4" customWidth="1"/>
    <col min="13" max="13" width="12.85546875" style="1" customWidth="1"/>
    <col min="14" max="14" width="11.140625" style="1" customWidth="1"/>
    <col min="15" max="15" width="15.5703125" style="1" customWidth="1"/>
    <col min="16" max="16" width="13.7109375" style="1" customWidth="1"/>
    <col min="17" max="17" width="11.42578125" style="1" customWidth="1"/>
    <col min="18" max="16384" width="11.42578125" style="1"/>
  </cols>
  <sheetData>
    <row r="1" spans="1:39" ht="15.75" x14ac:dyDescent="0.25">
      <c r="A1" s="69" t="s">
        <v>506</v>
      </c>
      <c r="M1" s="4"/>
    </row>
    <row r="2" spans="1:39" ht="16.5" thickBot="1" x14ac:dyDescent="0.3">
      <c r="A2" s="69"/>
      <c r="L2" s="5"/>
    </row>
    <row r="3" spans="1:39" s="36" customFormat="1" ht="26.25" customHeight="1" x14ac:dyDescent="0.2">
      <c r="A3" s="83" t="s">
        <v>0</v>
      </c>
      <c r="B3" s="84" t="s">
        <v>6</v>
      </c>
      <c r="C3" s="85" t="s">
        <v>1</v>
      </c>
      <c r="D3" s="84" t="s">
        <v>27</v>
      </c>
      <c r="E3" s="84" t="s">
        <v>28</v>
      </c>
      <c r="F3" s="84" t="s">
        <v>7</v>
      </c>
      <c r="G3" s="84" t="s">
        <v>8</v>
      </c>
      <c r="H3" s="89" t="s">
        <v>29</v>
      </c>
      <c r="I3" s="86" t="s">
        <v>2</v>
      </c>
      <c r="J3" s="84" t="s">
        <v>3</v>
      </c>
      <c r="K3" s="84" t="s">
        <v>4</v>
      </c>
      <c r="L3" s="160" t="s">
        <v>5</v>
      </c>
      <c r="M3" s="160" t="s">
        <v>9</v>
      </c>
      <c r="N3" s="160" t="s">
        <v>31</v>
      </c>
      <c r="O3" s="161" t="s">
        <v>11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</row>
    <row r="4" spans="1:39" ht="17.25" customHeight="1" x14ac:dyDescent="0.2">
      <c r="A4" s="25">
        <v>44091</v>
      </c>
      <c r="B4" s="52" t="s">
        <v>43</v>
      </c>
      <c r="C4" s="10" t="s">
        <v>44</v>
      </c>
      <c r="D4" s="56">
        <v>41.75</v>
      </c>
      <c r="E4" s="63">
        <f>563.25-D4</f>
        <v>521.5</v>
      </c>
      <c r="F4" s="11">
        <f t="shared" ref="F4:F21" si="0">125*D4</f>
        <v>5218.75</v>
      </c>
      <c r="G4" s="11">
        <f>28177.97-F4</f>
        <v>22959.22</v>
      </c>
      <c r="H4" s="158"/>
      <c r="I4" s="20">
        <f t="shared" ref="I4:I8" si="1">SUM(F4:H4)</f>
        <v>28177.97</v>
      </c>
      <c r="J4" s="8">
        <f t="shared" ref="J4:J8" si="2">+I4*0.05</f>
        <v>1408.8985000000002</v>
      </c>
      <c r="K4" s="8">
        <f t="shared" ref="K4:K8" si="3">+I4*0.09975</f>
        <v>2810.7525075000003</v>
      </c>
      <c r="L4" s="92">
        <f t="shared" ref="L4:L8" si="4">SUM(I4:K4)</f>
        <v>32397.621007500002</v>
      </c>
      <c r="M4" s="90">
        <v>32397.621007500002</v>
      </c>
      <c r="N4" s="168">
        <f>+L4-M4</f>
        <v>0</v>
      </c>
      <c r="O4" s="166"/>
      <c r="P4" s="5"/>
    </row>
    <row r="5" spans="1:39" ht="17.25" customHeight="1" x14ac:dyDescent="0.2">
      <c r="A5" s="25">
        <v>44091</v>
      </c>
      <c r="B5" s="52" t="s">
        <v>45</v>
      </c>
      <c r="C5" s="10" t="s">
        <v>46</v>
      </c>
      <c r="D5" s="56">
        <v>8.5</v>
      </c>
      <c r="E5" s="63">
        <f>425-D5</f>
        <v>416.5</v>
      </c>
      <c r="F5" s="11">
        <f t="shared" si="0"/>
        <v>1062.5</v>
      </c>
      <c r="G5" s="11">
        <f>19397.17-F5</f>
        <v>18334.669999999998</v>
      </c>
      <c r="H5" s="158"/>
      <c r="I5" s="20">
        <f t="shared" si="1"/>
        <v>19397.169999999998</v>
      </c>
      <c r="J5" s="8">
        <f t="shared" si="2"/>
        <v>969.85849999999994</v>
      </c>
      <c r="K5" s="8">
        <f t="shared" si="3"/>
        <v>1934.8677074999998</v>
      </c>
      <c r="L5" s="92">
        <f>SUM(I5:K5)-0.01</f>
        <v>22301.8862075</v>
      </c>
      <c r="M5" s="90">
        <v>22301.8862075</v>
      </c>
      <c r="N5" s="168">
        <f t="shared" ref="N5:N15" si="5">+L5-M5</f>
        <v>0</v>
      </c>
      <c r="O5" s="166"/>
      <c r="P5" s="5"/>
    </row>
    <row r="6" spans="1:39" ht="17.25" customHeight="1" x14ac:dyDescent="0.2">
      <c r="A6" s="25">
        <v>44104</v>
      </c>
      <c r="B6" s="52" t="s">
        <v>60</v>
      </c>
      <c r="C6" s="10" t="s">
        <v>61</v>
      </c>
      <c r="D6" s="56">
        <v>15.5</v>
      </c>
      <c r="E6" s="63">
        <f>625.5-D6</f>
        <v>610</v>
      </c>
      <c r="F6" s="11">
        <f t="shared" si="0"/>
        <v>1937.5</v>
      </c>
      <c r="G6" s="11">
        <f>28006.02-F6</f>
        <v>26068.52</v>
      </c>
      <c r="H6" s="158">
        <f>1950+387.5+1540</f>
        <v>3877.5</v>
      </c>
      <c r="I6" s="20">
        <f t="shared" si="1"/>
        <v>31883.52</v>
      </c>
      <c r="J6" s="8">
        <f t="shared" si="2"/>
        <v>1594.1760000000002</v>
      </c>
      <c r="K6" s="8">
        <f t="shared" si="3"/>
        <v>3180.38112</v>
      </c>
      <c r="L6" s="92">
        <f t="shared" si="4"/>
        <v>36658.077120000002</v>
      </c>
      <c r="M6" s="90">
        <v>36658.077120000002</v>
      </c>
      <c r="N6" s="168">
        <f t="shared" si="5"/>
        <v>0</v>
      </c>
      <c r="O6" s="166">
        <v>37500</v>
      </c>
      <c r="P6" s="5"/>
    </row>
    <row r="7" spans="1:39" ht="17.25" customHeight="1" x14ac:dyDescent="0.2">
      <c r="A7" s="25">
        <v>44145</v>
      </c>
      <c r="B7" s="52" t="s">
        <v>67</v>
      </c>
      <c r="C7" s="10" t="s">
        <v>72</v>
      </c>
      <c r="D7" s="56">
        <v>16.25</v>
      </c>
      <c r="E7" s="63">
        <f>682.75-D7</f>
        <v>666.5</v>
      </c>
      <c r="F7" s="11">
        <f t="shared" si="0"/>
        <v>2031.25</v>
      </c>
      <c r="G7" s="11">
        <f>34562.58-F7+2499.88</f>
        <v>35031.21</v>
      </c>
      <c r="H7" s="158"/>
      <c r="I7" s="20">
        <f t="shared" si="1"/>
        <v>37062.46</v>
      </c>
      <c r="J7" s="8">
        <f t="shared" si="2"/>
        <v>1853.123</v>
      </c>
      <c r="K7" s="8">
        <f t="shared" si="3"/>
        <v>3696.9803850000003</v>
      </c>
      <c r="L7" s="92">
        <f t="shared" si="4"/>
        <v>42612.563385000001</v>
      </c>
      <c r="M7" s="90">
        <v>42612.563385000001</v>
      </c>
      <c r="N7" s="168">
        <f t="shared" si="5"/>
        <v>0</v>
      </c>
      <c r="O7" s="166"/>
      <c r="P7" s="5"/>
    </row>
    <row r="8" spans="1:39" ht="17.25" customHeight="1" x14ac:dyDescent="0.2">
      <c r="A8" s="25">
        <v>44172</v>
      </c>
      <c r="B8" s="52" t="s">
        <v>78</v>
      </c>
      <c r="C8" s="10" t="s">
        <v>80</v>
      </c>
      <c r="D8" s="56">
        <v>12.25</v>
      </c>
      <c r="E8" s="63">
        <f>64-D8</f>
        <v>51.75</v>
      </c>
      <c r="F8" s="11">
        <f t="shared" si="0"/>
        <v>1531.25</v>
      </c>
      <c r="G8" s="11">
        <f>33250.76-F8</f>
        <v>31719.510000000002</v>
      </c>
      <c r="H8" s="158"/>
      <c r="I8" s="20">
        <f t="shared" si="1"/>
        <v>33250.76</v>
      </c>
      <c r="J8" s="8">
        <f t="shared" si="2"/>
        <v>1662.5380000000002</v>
      </c>
      <c r="K8" s="8">
        <f t="shared" si="3"/>
        <v>3316.7633100000003</v>
      </c>
      <c r="L8" s="92">
        <f t="shared" si="4"/>
        <v>38230.061310000005</v>
      </c>
      <c r="M8" s="90">
        <v>38230.061310000005</v>
      </c>
      <c r="N8" s="168">
        <f t="shared" si="5"/>
        <v>0</v>
      </c>
      <c r="O8" s="166"/>
      <c r="P8" s="5"/>
    </row>
    <row r="9" spans="1:39" ht="17.25" customHeight="1" x14ac:dyDescent="0.2">
      <c r="A9" s="25">
        <v>44216</v>
      </c>
      <c r="B9" s="52" t="s">
        <v>87</v>
      </c>
      <c r="C9" s="10" t="s">
        <v>88</v>
      </c>
      <c r="D9" s="56">
        <v>16</v>
      </c>
      <c r="E9" s="63">
        <f>744.5-D9</f>
        <v>728.5</v>
      </c>
      <c r="F9" s="11">
        <f t="shared" si="0"/>
        <v>2000</v>
      </c>
      <c r="G9" s="11">
        <f>40933.39-F9</f>
        <v>38933.39</v>
      </c>
      <c r="H9" s="158"/>
      <c r="I9" s="20">
        <f>SUM(F9:H9)</f>
        <v>40933.39</v>
      </c>
      <c r="J9" s="8">
        <f>+I9*0.05</f>
        <v>2046.6695</v>
      </c>
      <c r="K9" s="8">
        <f>+I9*0.09975</f>
        <v>4083.1056525000004</v>
      </c>
      <c r="L9" s="92">
        <f>SUM(I9:K9)</f>
        <v>47063.165152500005</v>
      </c>
      <c r="M9" s="90">
        <v>47063.165152500005</v>
      </c>
      <c r="N9" s="168">
        <f t="shared" si="5"/>
        <v>0</v>
      </c>
      <c r="O9" s="166"/>
      <c r="P9" s="5"/>
    </row>
    <row r="10" spans="1:39" ht="17.25" customHeight="1" x14ac:dyDescent="0.2">
      <c r="A10" s="25">
        <v>44244</v>
      </c>
      <c r="B10" s="52" t="s">
        <v>95</v>
      </c>
      <c r="C10" s="10" t="s">
        <v>102</v>
      </c>
      <c r="D10" s="56">
        <v>12</v>
      </c>
      <c r="E10" s="63">
        <f>823.5-D10</f>
        <v>811.5</v>
      </c>
      <c r="F10" s="11">
        <f t="shared" si="0"/>
        <v>1500</v>
      </c>
      <c r="G10" s="11">
        <f>43929.39-F10</f>
        <v>42429.39</v>
      </c>
      <c r="H10" s="158"/>
      <c r="I10" s="20">
        <f t="shared" ref="I10:I38" si="6">SUM(F10:H10)</f>
        <v>43929.39</v>
      </c>
      <c r="J10" s="8">
        <f t="shared" ref="J10:J38" si="7">+I10*0.05</f>
        <v>2196.4695000000002</v>
      </c>
      <c r="K10" s="8">
        <f t="shared" ref="K10:K38" si="8">+I10*0.09975</f>
        <v>4381.9566525</v>
      </c>
      <c r="L10" s="92">
        <f t="shared" ref="L10:L37" si="9">SUM(I10:K10)</f>
        <v>50507.816152499996</v>
      </c>
      <c r="M10" s="90">
        <v>50507.816152499996</v>
      </c>
      <c r="N10" s="168">
        <f t="shared" si="5"/>
        <v>0</v>
      </c>
      <c r="O10" s="166"/>
      <c r="P10" s="5"/>
    </row>
    <row r="11" spans="1:39" ht="17.25" customHeight="1" x14ac:dyDescent="0.2">
      <c r="A11" s="25">
        <v>44265</v>
      </c>
      <c r="B11" s="52" t="s">
        <v>104</v>
      </c>
      <c r="C11" s="10" t="s">
        <v>106</v>
      </c>
      <c r="D11" s="56">
        <v>11.25</v>
      </c>
      <c r="E11" s="63">
        <f>748.75-D11</f>
        <v>737.5</v>
      </c>
      <c r="F11" s="11">
        <f t="shared" si="0"/>
        <v>1406.25</v>
      </c>
      <c r="G11" s="11">
        <f>39121.45-F11</f>
        <v>37715.199999999997</v>
      </c>
      <c r="H11" s="158"/>
      <c r="I11" s="20">
        <f t="shared" si="6"/>
        <v>39121.449999999997</v>
      </c>
      <c r="J11" s="8">
        <f t="shared" si="7"/>
        <v>1956.0725</v>
      </c>
      <c r="K11" s="8">
        <f t="shared" si="8"/>
        <v>3902.3646374999998</v>
      </c>
      <c r="L11" s="92">
        <f t="shared" si="9"/>
        <v>44979.887137500002</v>
      </c>
      <c r="M11" s="90">
        <v>44979.887137500002</v>
      </c>
      <c r="N11" s="168">
        <f t="shared" si="5"/>
        <v>0</v>
      </c>
      <c r="O11" s="166">
        <v>162500</v>
      </c>
      <c r="P11" s="5"/>
    </row>
    <row r="12" spans="1:39" ht="17.25" customHeight="1" x14ac:dyDescent="0.2">
      <c r="A12" s="25">
        <v>44301</v>
      </c>
      <c r="B12" s="52" t="s">
        <v>110</v>
      </c>
      <c r="C12" s="10" t="s">
        <v>112</v>
      </c>
      <c r="D12" s="56">
        <v>9</v>
      </c>
      <c r="E12" s="63">
        <f>683-D12</f>
        <v>674</v>
      </c>
      <c r="F12" s="11">
        <f t="shared" si="0"/>
        <v>1125</v>
      </c>
      <c r="G12" s="11">
        <f>34413.08-F12</f>
        <v>33288.080000000002</v>
      </c>
      <c r="H12" s="158"/>
      <c r="I12" s="20">
        <f t="shared" si="6"/>
        <v>34413.08</v>
      </c>
      <c r="J12" s="8">
        <f t="shared" si="7"/>
        <v>1720.6540000000002</v>
      </c>
      <c r="K12" s="8">
        <f t="shared" si="8"/>
        <v>3432.7047300000004</v>
      </c>
      <c r="L12" s="92">
        <f>SUM(I12:K12)-0.01</f>
        <v>39566.42873</v>
      </c>
      <c r="M12" s="90">
        <v>39566.42873</v>
      </c>
      <c r="N12" s="168">
        <f t="shared" si="5"/>
        <v>0</v>
      </c>
      <c r="O12" s="166"/>
      <c r="P12" s="5"/>
    </row>
    <row r="13" spans="1:39" ht="17.25" customHeight="1" x14ac:dyDescent="0.2">
      <c r="A13" s="25">
        <v>44336</v>
      </c>
      <c r="B13" s="52" t="s">
        <v>115</v>
      </c>
      <c r="C13" s="10" t="s">
        <v>117</v>
      </c>
      <c r="D13" s="56">
        <v>9.5</v>
      </c>
      <c r="E13" s="63">
        <f>476.75-D13</f>
        <v>467.25</v>
      </c>
      <c r="F13" s="11">
        <f t="shared" si="0"/>
        <v>1187.5</v>
      </c>
      <c r="G13" s="11">
        <f>24696.18-F13</f>
        <v>23508.68</v>
      </c>
      <c r="H13" s="158"/>
      <c r="I13" s="20">
        <f t="shared" si="6"/>
        <v>24696.18</v>
      </c>
      <c r="J13" s="8">
        <f t="shared" si="7"/>
        <v>1234.8090000000002</v>
      </c>
      <c r="K13" s="8">
        <f t="shared" si="8"/>
        <v>2463.4439550000002</v>
      </c>
      <c r="L13" s="92">
        <f t="shared" si="9"/>
        <v>28394.432955</v>
      </c>
      <c r="M13" s="90">
        <v>28394.432955</v>
      </c>
      <c r="N13" s="168">
        <f t="shared" si="5"/>
        <v>0</v>
      </c>
      <c r="O13" s="166"/>
      <c r="P13" s="5"/>
    </row>
    <row r="14" spans="1:39" ht="17.25" customHeight="1" x14ac:dyDescent="0.2">
      <c r="A14" s="25">
        <v>44355</v>
      </c>
      <c r="B14" s="52" t="s">
        <v>119</v>
      </c>
      <c r="C14" s="10" t="s">
        <v>120</v>
      </c>
      <c r="D14" s="56">
        <v>5.25</v>
      </c>
      <c r="E14" s="63">
        <f>310.25-D14</f>
        <v>305</v>
      </c>
      <c r="F14" s="11">
        <f t="shared" si="0"/>
        <v>656.25</v>
      </c>
      <c r="G14" s="11">
        <f>16219.06-F14</f>
        <v>15562.81</v>
      </c>
      <c r="H14" s="158"/>
      <c r="I14" s="20">
        <f t="shared" si="6"/>
        <v>16219.06</v>
      </c>
      <c r="J14" s="8">
        <f t="shared" si="7"/>
        <v>810.95299999999997</v>
      </c>
      <c r="K14" s="8">
        <f t="shared" si="8"/>
        <v>1617.8512350000001</v>
      </c>
      <c r="L14" s="92">
        <f>SUM(I14:K14)+0.01</f>
        <v>18647.874234999999</v>
      </c>
      <c r="M14" s="90">
        <v>18647.874234999999</v>
      </c>
      <c r="N14" s="168">
        <f t="shared" si="5"/>
        <v>0</v>
      </c>
      <c r="O14" s="166"/>
      <c r="P14" s="5"/>
    </row>
    <row r="15" spans="1:39" ht="17.25" customHeight="1" x14ac:dyDescent="0.2">
      <c r="A15" s="25">
        <v>44392</v>
      </c>
      <c r="B15" s="52" t="s">
        <v>124</v>
      </c>
      <c r="C15" s="10" t="s">
        <v>125</v>
      </c>
      <c r="D15" s="56">
        <v>4.25</v>
      </c>
      <c r="E15" s="63">
        <f>338.75-D15</f>
        <v>334.5</v>
      </c>
      <c r="F15" s="11">
        <f t="shared" si="0"/>
        <v>531.25</v>
      </c>
      <c r="G15" s="11">
        <f>17069.64-F15</f>
        <v>16538.39</v>
      </c>
      <c r="H15" s="158"/>
      <c r="I15" s="20">
        <f t="shared" si="6"/>
        <v>17069.64</v>
      </c>
      <c r="J15" s="8">
        <f t="shared" si="7"/>
        <v>853.48199999999997</v>
      </c>
      <c r="K15" s="8">
        <f t="shared" si="8"/>
        <v>1702.69659</v>
      </c>
      <c r="L15" s="92">
        <f t="shared" si="9"/>
        <v>19625.818589999999</v>
      </c>
      <c r="M15" s="90">
        <v>19625.818589999999</v>
      </c>
      <c r="N15" s="168">
        <f t="shared" si="5"/>
        <v>0</v>
      </c>
      <c r="O15" s="166"/>
      <c r="P15" s="5"/>
    </row>
    <row r="16" spans="1:39" ht="17.25" customHeight="1" x14ac:dyDescent="0.2">
      <c r="A16" s="25">
        <v>44426</v>
      </c>
      <c r="B16" s="52" t="s">
        <v>129</v>
      </c>
      <c r="C16" s="10" t="s">
        <v>130</v>
      </c>
      <c r="D16" s="56">
        <v>2</v>
      </c>
      <c r="E16" s="63">
        <f>151.75-D16</f>
        <v>149.75</v>
      </c>
      <c r="F16" s="11">
        <f t="shared" si="0"/>
        <v>250</v>
      </c>
      <c r="G16" s="11">
        <f>6508.36-F16</f>
        <v>6258.36</v>
      </c>
      <c r="H16" s="158"/>
      <c r="I16" s="20">
        <f>SUM(F16:H16)</f>
        <v>6508.36</v>
      </c>
      <c r="J16" s="8">
        <f>+I16*0.05</f>
        <v>325.41800000000001</v>
      </c>
      <c r="K16" s="8">
        <f>+I16*0.09975</f>
        <v>649.20890999999995</v>
      </c>
      <c r="L16" s="92">
        <f>SUM(I16:K16)</f>
        <v>7482.9869099999996</v>
      </c>
      <c r="M16" s="90">
        <v>7482.9869099999996</v>
      </c>
      <c r="N16" s="168">
        <f>+L16-M16</f>
        <v>0</v>
      </c>
      <c r="O16" s="166"/>
      <c r="P16" s="5"/>
    </row>
    <row r="17" spans="1:16" ht="17.25" customHeight="1" x14ac:dyDescent="0.2">
      <c r="A17" s="25">
        <v>44453</v>
      </c>
      <c r="B17" s="52" t="s">
        <v>133</v>
      </c>
      <c r="C17" s="10" t="s">
        <v>134</v>
      </c>
      <c r="D17" s="56">
        <v>5.25</v>
      </c>
      <c r="E17" s="63">
        <f>233.75-D17</f>
        <v>228.5</v>
      </c>
      <c r="F17" s="11">
        <f t="shared" si="0"/>
        <v>656.25</v>
      </c>
      <c r="G17" s="11">
        <f>9893.38-F17</f>
        <v>9237.1299999999992</v>
      </c>
      <c r="H17" s="158"/>
      <c r="I17" s="20">
        <f t="shared" si="6"/>
        <v>9893.3799999999992</v>
      </c>
      <c r="J17" s="8">
        <f t="shared" si="7"/>
        <v>494.66899999999998</v>
      </c>
      <c r="K17" s="8">
        <f t="shared" si="8"/>
        <v>986.86465499999997</v>
      </c>
      <c r="L17" s="92">
        <f t="shared" si="9"/>
        <v>11374.913654999998</v>
      </c>
      <c r="M17" s="90">
        <v>11374.913654999998</v>
      </c>
      <c r="N17" s="168">
        <f t="shared" ref="N17:N37" si="10">+L17-M17</f>
        <v>0</v>
      </c>
      <c r="O17" s="166">
        <v>187500</v>
      </c>
      <c r="P17" s="5"/>
    </row>
    <row r="18" spans="1:16" ht="17.25" customHeight="1" x14ac:dyDescent="0.2">
      <c r="A18" s="25">
        <v>44495</v>
      </c>
      <c r="B18" s="52" t="s">
        <v>139</v>
      </c>
      <c r="C18" s="10" t="s">
        <v>141</v>
      </c>
      <c r="D18" s="56">
        <v>6.75</v>
      </c>
      <c r="E18" s="63">
        <f>443.5-D18</f>
        <v>436.75</v>
      </c>
      <c r="F18" s="11">
        <f t="shared" si="0"/>
        <v>843.75</v>
      </c>
      <c r="G18" s="11">
        <f>22492.06-F18</f>
        <v>21648.31</v>
      </c>
      <c r="H18" s="158"/>
      <c r="I18" s="20">
        <f t="shared" si="6"/>
        <v>22492.06</v>
      </c>
      <c r="J18" s="8">
        <f t="shared" si="7"/>
        <v>1124.6030000000001</v>
      </c>
      <c r="K18" s="8">
        <f t="shared" si="8"/>
        <v>2243.5829850000005</v>
      </c>
      <c r="L18" s="92">
        <f t="shared" si="9"/>
        <v>25860.245985000001</v>
      </c>
      <c r="M18" s="90">
        <v>25860.245985000001</v>
      </c>
      <c r="N18" s="168">
        <f t="shared" si="10"/>
        <v>0</v>
      </c>
      <c r="O18" s="167"/>
      <c r="P18" s="5"/>
    </row>
    <row r="19" spans="1:16" ht="17.25" customHeight="1" x14ac:dyDescent="0.2">
      <c r="A19" s="25">
        <v>44524</v>
      </c>
      <c r="B19" s="52" t="s">
        <v>144</v>
      </c>
      <c r="C19" s="10" t="s">
        <v>145</v>
      </c>
      <c r="D19" s="56">
        <v>3</v>
      </c>
      <c r="E19" s="63">
        <f>301-D19</f>
        <v>298</v>
      </c>
      <c r="F19" s="11">
        <f t="shared" si="0"/>
        <v>375</v>
      </c>
      <c r="G19" s="11">
        <f>15502.17-F19</f>
        <v>15127.17</v>
      </c>
      <c r="H19" s="158">
        <v>2200</v>
      </c>
      <c r="I19" s="20">
        <f t="shared" si="6"/>
        <v>17702.169999999998</v>
      </c>
      <c r="J19" s="8">
        <f t="shared" si="7"/>
        <v>885.10849999999994</v>
      </c>
      <c r="K19" s="8">
        <f t="shared" si="8"/>
        <v>1765.7914575</v>
      </c>
      <c r="L19" s="92">
        <f>SUM(I19:K19)</f>
        <v>20353.069957499996</v>
      </c>
      <c r="M19" s="90">
        <v>20353.069957499996</v>
      </c>
      <c r="N19" s="168">
        <f t="shared" si="10"/>
        <v>0</v>
      </c>
      <c r="O19" s="166"/>
      <c r="P19" s="5"/>
    </row>
    <row r="20" spans="1:16" ht="17.25" customHeight="1" x14ac:dyDescent="0.2">
      <c r="A20" s="25">
        <v>44551</v>
      </c>
      <c r="B20" s="52" t="s">
        <v>149</v>
      </c>
      <c r="C20" s="10" t="s">
        <v>150</v>
      </c>
      <c r="D20" s="56">
        <v>2</v>
      </c>
      <c r="E20" s="63">
        <f>380.75-D20</f>
        <v>378.75</v>
      </c>
      <c r="F20" s="11">
        <f t="shared" si="0"/>
        <v>250</v>
      </c>
      <c r="G20" s="11">
        <f>19789.79-F20</f>
        <v>19539.79</v>
      </c>
      <c r="H20" s="158">
        <v>796.33</v>
      </c>
      <c r="I20" s="20">
        <f>SUM(F20:H20)</f>
        <v>20586.120000000003</v>
      </c>
      <c r="J20" s="8">
        <f t="shared" si="7"/>
        <v>1029.3060000000003</v>
      </c>
      <c r="K20" s="8">
        <f t="shared" si="8"/>
        <v>2053.4654700000006</v>
      </c>
      <c r="L20" s="92">
        <f t="shared" si="9"/>
        <v>23668.891470000002</v>
      </c>
      <c r="M20" s="90">
        <v>23668.891470000002</v>
      </c>
      <c r="N20" s="168">
        <f t="shared" si="10"/>
        <v>0</v>
      </c>
      <c r="O20" s="166"/>
      <c r="P20" s="5"/>
    </row>
    <row r="21" spans="1:16" ht="17.25" customHeight="1" x14ac:dyDescent="0.2">
      <c r="A21" s="25">
        <v>44582</v>
      </c>
      <c r="B21" s="52" t="s">
        <v>153</v>
      </c>
      <c r="C21" s="10" t="s">
        <v>154</v>
      </c>
      <c r="D21" s="56">
        <v>2.5</v>
      </c>
      <c r="E21" s="63">
        <f>237.25-D21</f>
        <v>234.75</v>
      </c>
      <c r="F21" s="11">
        <f t="shared" si="0"/>
        <v>312.5</v>
      </c>
      <c r="G21" s="11">
        <f>12050.32-F21</f>
        <v>11737.82</v>
      </c>
      <c r="H21" s="158">
        <v>102.02</v>
      </c>
      <c r="I21" s="20">
        <f t="shared" si="6"/>
        <v>12152.34</v>
      </c>
      <c r="J21" s="8">
        <f t="shared" si="7"/>
        <v>607.61700000000008</v>
      </c>
      <c r="K21" s="8">
        <f t="shared" si="8"/>
        <v>1212.195915</v>
      </c>
      <c r="L21" s="92">
        <f t="shared" si="9"/>
        <v>13972.152915000001</v>
      </c>
      <c r="M21" s="90">
        <v>13972.152915000001</v>
      </c>
      <c r="N21" s="168">
        <f t="shared" si="10"/>
        <v>0</v>
      </c>
      <c r="O21" s="166"/>
      <c r="P21" s="5"/>
    </row>
    <row r="22" spans="1:16" ht="17.25" customHeight="1" x14ac:dyDescent="0.2">
      <c r="A22" s="25">
        <v>44592</v>
      </c>
      <c r="B22" s="52" t="s">
        <v>208</v>
      </c>
      <c r="C22" s="10" t="s">
        <v>215</v>
      </c>
      <c r="D22" s="56">
        <f>2.5+42</f>
        <v>44.5</v>
      </c>
      <c r="E22" s="63">
        <f>395-D22</f>
        <v>350.5</v>
      </c>
      <c r="F22" s="11">
        <f>312.5+5250</f>
        <v>5562.5</v>
      </c>
      <c r="G22" s="11">
        <f>24989.09-F22</f>
        <v>19426.59</v>
      </c>
      <c r="H22" s="158"/>
      <c r="I22" s="20">
        <f t="shared" si="6"/>
        <v>24989.09</v>
      </c>
      <c r="J22" s="8">
        <f t="shared" si="7"/>
        <v>1249.4545000000001</v>
      </c>
      <c r="K22" s="8">
        <f t="shared" si="8"/>
        <v>2492.6617275000003</v>
      </c>
      <c r="L22" s="92">
        <f>SUM(I22:K22)-0.01</f>
        <v>28731.196227500001</v>
      </c>
      <c r="M22" s="90">
        <v>28731.196227500001</v>
      </c>
      <c r="N22" s="168">
        <f t="shared" si="10"/>
        <v>0</v>
      </c>
      <c r="O22" s="166"/>
      <c r="P22" s="5"/>
    </row>
    <row r="23" spans="1:16" ht="17.25" customHeight="1" x14ac:dyDescent="0.2">
      <c r="A23" s="25">
        <v>44620</v>
      </c>
      <c r="B23" s="52" t="s">
        <v>206</v>
      </c>
      <c r="C23" s="10" t="s">
        <v>214</v>
      </c>
      <c r="D23" s="56">
        <f>3.75+51.5</f>
        <v>55.25</v>
      </c>
      <c r="E23" s="63">
        <f>0.75+68.75+0.25+68+70+49.25+0.75</f>
        <v>257.75</v>
      </c>
      <c r="F23" s="11">
        <f>468.75+6437.5</f>
        <v>6906.25</v>
      </c>
      <c r="G23" s="11">
        <f>22990.21-F23</f>
        <v>16083.96</v>
      </c>
      <c r="H23" s="158">
        <f>+(82.39*4)+204.51+41.52</f>
        <v>575.58999999999992</v>
      </c>
      <c r="I23" s="20">
        <f t="shared" si="6"/>
        <v>23565.8</v>
      </c>
      <c r="J23" s="8">
        <f t="shared" si="7"/>
        <v>1178.29</v>
      </c>
      <c r="K23" s="8">
        <f t="shared" si="8"/>
        <v>2350.6885499999999</v>
      </c>
      <c r="L23" s="92">
        <f>SUM(I23:K23)</f>
        <v>27094.778549999999</v>
      </c>
      <c r="M23" s="90">
        <v>27094.778549999999</v>
      </c>
      <c r="N23" s="168">
        <f t="shared" si="10"/>
        <v>0</v>
      </c>
      <c r="O23" s="166"/>
      <c r="P23" s="5"/>
    </row>
    <row r="24" spans="1:16" ht="17.25" customHeight="1" x14ac:dyDescent="0.2">
      <c r="A24" s="25">
        <v>44651</v>
      </c>
      <c r="B24" s="52" t="s">
        <v>212</v>
      </c>
      <c r="C24" s="10" t="s">
        <v>213</v>
      </c>
      <c r="D24" s="56">
        <f>2.5+51.75</f>
        <v>54.25</v>
      </c>
      <c r="E24" s="63">
        <f>333.5-D24</f>
        <v>279.25</v>
      </c>
      <c r="F24" s="11">
        <f>312.5+6468.75</f>
        <v>6781.25</v>
      </c>
      <c r="G24" s="11">
        <f>22273.4-F24</f>
        <v>15492.150000000001</v>
      </c>
      <c r="H24" s="158">
        <f>152.39+103.39+75.39+82.39+82.39+336.66+68.36+60.76</f>
        <v>961.7299999999999</v>
      </c>
      <c r="I24" s="20">
        <f t="shared" si="6"/>
        <v>23235.13</v>
      </c>
      <c r="J24" s="8">
        <f t="shared" si="7"/>
        <v>1161.7565000000002</v>
      </c>
      <c r="K24" s="8">
        <f t="shared" si="8"/>
        <v>2317.7042175000001</v>
      </c>
      <c r="L24" s="92">
        <f t="shared" si="9"/>
        <v>26714.590717499999</v>
      </c>
      <c r="M24" s="90">
        <v>26714.590717499999</v>
      </c>
      <c r="N24" s="168">
        <f t="shared" si="10"/>
        <v>0</v>
      </c>
      <c r="O24" s="166"/>
      <c r="P24" s="5"/>
    </row>
    <row r="25" spans="1:16" ht="17.25" customHeight="1" x14ac:dyDescent="0.2">
      <c r="A25" s="25">
        <v>44681</v>
      </c>
      <c r="B25" s="52" t="s">
        <v>219</v>
      </c>
      <c r="C25" s="10" t="s">
        <v>221</v>
      </c>
      <c r="D25" s="56">
        <f>2.5+66.75</f>
        <v>69.25</v>
      </c>
      <c r="E25" s="63">
        <f>335-D25</f>
        <v>265.75</v>
      </c>
      <c r="F25" s="11">
        <f>312.5+8343.75</f>
        <v>8656.25</v>
      </c>
      <c r="G25" s="11">
        <f>24793.77-F25</f>
        <v>16137.52</v>
      </c>
      <c r="H25" s="158"/>
      <c r="I25" s="20">
        <f t="shared" si="6"/>
        <v>24793.77</v>
      </c>
      <c r="J25" s="8">
        <f t="shared" si="7"/>
        <v>1239.6885000000002</v>
      </c>
      <c r="K25" s="8">
        <f t="shared" si="8"/>
        <v>2473.1785575000004</v>
      </c>
      <c r="L25" s="92">
        <f t="shared" si="9"/>
        <v>28506.6370575</v>
      </c>
      <c r="M25" s="90">
        <v>28506.6370575</v>
      </c>
      <c r="N25" s="168">
        <f>+L25-M25</f>
        <v>0</v>
      </c>
      <c r="O25" s="166"/>
      <c r="P25" s="5"/>
    </row>
    <row r="26" spans="1:16" ht="17.25" customHeight="1" x14ac:dyDescent="0.2">
      <c r="A26" s="25">
        <v>44712</v>
      </c>
      <c r="B26" s="52" t="s">
        <v>222</v>
      </c>
      <c r="C26" s="10" t="s">
        <v>223</v>
      </c>
      <c r="D26" s="56">
        <f>2+56</f>
        <v>58</v>
      </c>
      <c r="E26" s="63">
        <f>252-D26</f>
        <v>194</v>
      </c>
      <c r="F26" s="11">
        <f>250+7000</f>
        <v>7250</v>
      </c>
      <c r="G26" s="11">
        <f>18784.19-F26</f>
        <v>11534.189999999999</v>
      </c>
      <c r="H26" s="158"/>
      <c r="I26" s="20">
        <f t="shared" si="6"/>
        <v>18784.189999999999</v>
      </c>
      <c r="J26" s="8">
        <f t="shared" si="7"/>
        <v>939.20949999999993</v>
      </c>
      <c r="K26" s="8">
        <f t="shared" si="8"/>
        <v>1873.7229525</v>
      </c>
      <c r="L26" s="92">
        <f t="shared" si="9"/>
        <v>21597.1224525</v>
      </c>
      <c r="M26" s="90">
        <v>21597.1224525</v>
      </c>
      <c r="N26" s="168">
        <f t="shared" si="10"/>
        <v>0</v>
      </c>
      <c r="O26" s="166"/>
      <c r="P26" s="5"/>
    </row>
    <row r="27" spans="1:16" ht="17.25" customHeight="1" x14ac:dyDescent="0.2">
      <c r="A27" s="25">
        <v>44742</v>
      </c>
      <c r="B27" s="52" t="s">
        <v>233</v>
      </c>
      <c r="C27" s="10" t="s">
        <v>234</v>
      </c>
      <c r="D27" s="56">
        <f>2+59</f>
        <v>61</v>
      </c>
      <c r="E27" s="63">
        <f>215.25-D27</f>
        <v>154.25</v>
      </c>
      <c r="F27" s="11">
        <f>250+7375</f>
        <v>7625</v>
      </c>
      <c r="G27" s="11">
        <f>16813.16-F27</f>
        <v>9188.16</v>
      </c>
      <c r="H27" s="158">
        <v>1670.16</v>
      </c>
      <c r="I27" s="20">
        <f t="shared" si="6"/>
        <v>18483.32</v>
      </c>
      <c r="J27" s="8">
        <f t="shared" si="7"/>
        <v>924.16600000000005</v>
      </c>
      <c r="K27" s="8">
        <f t="shared" si="8"/>
        <v>1843.71117</v>
      </c>
      <c r="L27" s="92">
        <f t="shared" si="9"/>
        <v>21251.197169999999</v>
      </c>
      <c r="M27" s="90">
        <v>21251.197169999999</v>
      </c>
      <c r="N27" s="168">
        <f t="shared" si="10"/>
        <v>0</v>
      </c>
      <c r="O27" s="166"/>
      <c r="P27" s="5"/>
    </row>
    <row r="28" spans="1:16" ht="17.25" customHeight="1" x14ac:dyDescent="0.2">
      <c r="A28" s="25">
        <v>44773</v>
      </c>
      <c r="B28" s="52" t="s">
        <v>244</v>
      </c>
      <c r="C28" s="10" t="s">
        <v>245</v>
      </c>
      <c r="D28" s="56">
        <v>31.25</v>
      </c>
      <c r="E28" s="63">
        <f>113.25-D28</f>
        <v>82</v>
      </c>
      <c r="F28" s="11">
        <f>125+3781.25</f>
        <v>3906.25</v>
      </c>
      <c r="G28" s="11">
        <f>9160.18-F28</f>
        <v>5253.93</v>
      </c>
      <c r="H28" s="158"/>
      <c r="I28" s="20">
        <f t="shared" si="6"/>
        <v>9160.18</v>
      </c>
      <c r="J28" s="8">
        <f t="shared" si="7"/>
        <v>458.00900000000001</v>
      </c>
      <c r="K28" s="8">
        <f t="shared" si="8"/>
        <v>913.72795500000007</v>
      </c>
      <c r="L28" s="92">
        <f t="shared" si="9"/>
        <v>10531.916955000001</v>
      </c>
      <c r="M28" s="90">
        <v>10531.916955000001</v>
      </c>
      <c r="N28" s="168">
        <f t="shared" si="10"/>
        <v>0</v>
      </c>
      <c r="O28" s="166"/>
      <c r="P28" s="5"/>
    </row>
    <row r="29" spans="1:16" ht="17.25" customHeight="1" x14ac:dyDescent="0.2">
      <c r="A29" s="25">
        <v>44804</v>
      </c>
      <c r="B29" s="52" t="s">
        <v>251</v>
      </c>
      <c r="C29" s="10" t="s">
        <v>250</v>
      </c>
      <c r="D29" s="56">
        <f>3.75+22.25</f>
        <v>26</v>
      </c>
      <c r="E29" s="63">
        <f>109.5-D29</f>
        <v>83.5</v>
      </c>
      <c r="F29" s="11">
        <f>468.75+2781.25</f>
        <v>3250</v>
      </c>
      <c r="G29" s="11">
        <f>8424.43-F29</f>
        <v>5174.43</v>
      </c>
      <c r="H29" s="158">
        <v>1149.81</v>
      </c>
      <c r="I29" s="20">
        <f t="shared" si="6"/>
        <v>9574.24</v>
      </c>
      <c r="J29" s="8">
        <f t="shared" si="7"/>
        <v>478.71199999999999</v>
      </c>
      <c r="K29" s="8">
        <f t="shared" si="8"/>
        <v>955.03044</v>
      </c>
      <c r="L29" s="92">
        <f t="shared" si="9"/>
        <v>11007.98244</v>
      </c>
      <c r="M29" s="90">
        <v>11007.98244</v>
      </c>
      <c r="N29" s="168">
        <f t="shared" si="10"/>
        <v>0</v>
      </c>
      <c r="O29" s="166"/>
      <c r="P29" s="88"/>
    </row>
    <row r="30" spans="1:16" ht="17.25" customHeight="1" x14ac:dyDescent="0.2">
      <c r="A30" s="25">
        <v>44834</v>
      </c>
      <c r="B30" s="52" t="s">
        <v>258</v>
      </c>
      <c r="C30" s="10" t="s">
        <v>259</v>
      </c>
      <c r="D30" s="56">
        <f>3.5+49</f>
        <v>52.5</v>
      </c>
      <c r="E30" s="63">
        <f>230.25-D30</f>
        <v>177.75</v>
      </c>
      <c r="F30" s="11">
        <f>437.5+4410</f>
        <v>4847.5</v>
      </c>
      <c r="G30" s="11">
        <f>15726.43-F30</f>
        <v>10878.93</v>
      </c>
      <c r="H30" s="158">
        <v>1534.35</v>
      </c>
      <c r="I30" s="20">
        <f t="shared" si="6"/>
        <v>17260.78</v>
      </c>
      <c r="J30" s="8">
        <f t="shared" si="7"/>
        <v>863.03899999999999</v>
      </c>
      <c r="K30" s="8">
        <f t="shared" si="8"/>
        <v>1721.7628050000001</v>
      </c>
      <c r="L30" s="92">
        <f t="shared" si="9"/>
        <v>19845.581804999998</v>
      </c>
      <c r="M30" s="90">
        <v>19845.581804999998</v>
      </c>
      <c r="N30" s="168">
        <f t="shared" si="10"/>
        <v>0</v>
      </c>
      <c r="O30" s="166"/>
      <c r="P30" s="88"/>
    </row>
    <row r="31" spans="1:16" ht="16.5" customHeight="1" x14ac:dyDescent="0.2">
      <c r="A31" s="25">
        <v>44865</v>
      </c>
      <c r="B31" s="52" t="s">
        <v>268</v>
      </c>
      <c r="C31" s="10" t="s">
        <v>270</v>
      </c>
      <c r="D31" s="56">
        <f>3.25+34.5</f>
        <v>37.75</v>
      </c>
      <c r="E31" s="63">
        <f>146.5-D31</f>
        <v>108.75</v>
      </c>
      <c r="F31" s="11">
        <f>406.25+3105</f>
        <v>3511.25</v>
      </c>
      <c r="G31" s="11">
        <f>10382.44-F31</f>
        <v>6871.1900000000005</v>
      </c>
      <c r="H31" s="158">
        <v>1797</v>
      </c>
      <c r="I31" s="20">
        <f>SUM(F31:H31)</f>
        <v>12179.44</v>
      </c>
      <c r="J31" s="8">
        <f t="shared" si="7"/>
        <v>608.97200000000009</v>
      </c>
      <c r="K31" s="8">
        <f t="shared" si="8"/>
        <v>1214.8991400000002</v>
      </c>
      <c r="L31" s="92">
        <f t="shared" si="9"/>
        <v>14003.31114</v>
      </c>
      <c r="M31" s="90">
        <v>14003.31114</v>
      </c>
      <c r="N31" s="168">
        <f t="shared" si="10"/>
        <v>0</v>
      </c>
      <c r="O31" s="166"/>
      <c r="P31" s="88"/>
    </row>
    <row r="32" spans="1:16" ht="16.5" customHeight="1" x14ac:dyDescent="0.2">
      <c r="A32" s="25">
        <v>44895</v>
      </c>
      <c r="B32" s="52" t="s">
        <v>271</v>
      </c>
      <c r="C32" s="10" t="s">
        <v>272</v>
      </c>
      <c r="D32" s="56">
        <f>2.25+45.5</f>
        <v>47.75</v>
      </c>
      <c r="E32" s="63">
        <f>175-D32</f>
        <v>127.25</v>
      </c>
      <c r="F32" s="11">
        <f>281.25+5687.5</f>
        <v>5968.75</v>
      </c>
      <c r="G32" s="11">
        <f>14132.55-F32</f>
        <v>8163.7999999999993</v>
      </c>
      <c r="H32" s="158">
        <v>2106.14</v>
      </c>
      <c r="I32" s="20">
        <f>SUM(F32:H32)</f>
        <v>16238.689999999999</v>
      </c>
      <c r="J32" s="8">
        <f t="shared" si="7"/>
        <v>811.93449999999996</v>
      </c>
      <c r="K32" s="8">
        <f t="shared" si="8"/>
        <v>1619.8093274999999</v>
      </c>
      <c r="L32" s="92">
        <f t="shared" si="9"/>
        <v>18670.433827499997</v>
      </c>
      <c r="M32" s="90">
        <v>18670.433827499997</v>
      </c>
      <c r="N32" s="168">
        <f t="shared" si="10"/>
        <v>0</v>
      </c>
      <c r="O32" s="166"/>
      <c r="P32" s="88"/>
    </row>
    <row r="33" spans="1:16" ht="17.25" customHeight="1" x14ac:dyDescent="0.2">
      <c r="A33" s="25">
        <v>44895</v>
      </c>
      <c r="B33" s="52" t="s">
        <v>274</v>
      </c>
      <c r="C33" s="10" t="s">
        <v>273</v>
      </c>
      <c r="D33" s="63">
        <v>0</v>
      </c>
      <c r="E33" s="63">
        <v>0</v>
      </c>
      <c r="F33" s="11">
        <v>2922.5</v>
      </c>
      <c r="G33" s="11">
        <v>0</v>
      </c>
      <c r="H33" s="158"/>
      <c r="I33" s="20">
        <f t="shared" si="6"/>
        <v>2922.5</v>
      </c>
      <c r="J33" s="8">
        <f t="shared" si="7"/>
        <v>146.125</v>
      </c>
      <c r="K33" s="8">
        <v>291.52</v>
      </c>
      <c r="L33" s="92">
        <f t="shared" si="9"/>
        <v>3360.145</v>
      </c>
      <c r="M33" s="90">
        <v>3360.145</v>
      </c>
      <c r="N33" s="168">
        <f t="shared" si="10"/>
        <v>0</v>
      </c>
      <c r="O33" s="166"/>
      <c r="P33" s="88"/>
    </row>
    <row r="34" spans="1:16" ht="17.25" customHeight="1" x14ac:dyDescent="0.2">
      <c r="A34" s="25">
        <v>44926</v>
      </c>
      <c r="B34" s="52" t="s">
        <v>285</v>
      </c>
      <c r="C34" s="10" t="s">
        <v>286</v>
      </c>
      <c r="D34" s="56">
        <v>25</v>
      </c>
      <c r="E34" s="63">
        <f>83.25-D34</f>
        <v>58.25</v>
      </c>
      <c r="F34" s="11">
        <f>62.5+3062.5</f>
        <v>3125</v>
      </c>
      <c r="G34" s="11">
        <f>6877.73-F34</f>
        <v>3752.7299999999996</v>
      </c>
      <c r="H34" s="158">
        <v>106.39</v>
      </c>
      <c r="I34" s="20">
        <f t="shared" si="6"/>
        <v>6984.12</v>
      </c>
      <c r="J34" s="8">
        <f t="shared" si="7"/>
        <v>349.20600000000002</v>
      </c>
      <c r="K34" s="8">
        <v>696.67</v>
      </c>
      <c r="L34" s="92">
        <f t="shared" si="9"/>
        <v>8029.9960000000001</v>
      </c>
      <c r="M34" s="90">
        <v>8029.9960000000001</v>
      </c>
      <c r="N34" s="168">
        <f t="shared" si="10"/>
        <v>0</v>
      </c>
      <c r="O34" s="166"/>
      <c r="P34" s="88"/>
    </row>
    <row r="35" spans="1:16" ht="17.25" customHeight="1" x14ac:dyDescent="0.2">
      <c r="A35" s="25">
        <v>44957</v>
      </c>
      <c r="B35" s="52" t="s">
        <v>295</v>
      </c>
      <c r="C35" s="10" t="s">
        <v>297</v>
      </c>
      <c r="D35" s="56">
        <v>23.25</v>
      </c>
      <c r="E35" s="63">
        <f>97.75-D35</f>
        <v>74.5</v>
      </c>
      <c r="F35" s="11">
        <f>2781.25+125</f>
        <v>2906.25</v>
      </c>
      <c r="G35" s="11">
        <f>7708.03-F35</f>
        <v>4801.78</v>
      </c>
      <c r="H35" s="158">
        <v>510.86</v>
      </c>
      <c r="I35" s="20">
        <f t="shared" si="6"/>
        <v>8218.89</v>
      </c>
      <c r="J35" s="8">
        <f t="shared" si="7"/>
        <v>410.94450000000001</v>
      </c>
      <c r="K35" s="8">
        <v>819.83</v>
      </c>
      <c r="L35" s="92">
        <f t="shared" si="9"/>
        <v>9449.664499999999</v>
      </c>
      <c r="M35" s="90">
        <v>9449.664499999999</v>
      </c>
      <c r="N35" s="168">
        <f t="shared" si="10"/>
        <v>0</v>
      </c>
      <c r="O35" s="166"/>
      <c r="P35" s="88"/>
    </row>
    <row r="36" spans="1:16" ht="17.25" customHeight="1" x14ac:dyDescent="0.2">
      <c r="A36" s="25">
        <v>44985</v>
      </c>
      <c r="B36" s="52" t="s">
        <v>302</v>
      </c>
      <c r="C36" s="10" t="s">
        <v>303</v>
      </c>
      <c r="D36" s="56">
        <v>34.25</v>
      </c>
      <c r="E36" s="63">
        <f>112.5-D36</f>
        <v>78.25</v>
      </c>
      <c r="F36" s="11">
        <f>+D36*125</f>
        <v>4281.25</v>
      </c>
      <c r="G36" s="11">
        <f>9413.15-F36</f>
        <v>5131.8999999999996</v>
      </c>
      <c r="H36" s="158">
        <v>212.78</v>
      </c>
      <c r="I36" s="20">
        <f>SUM(F36:H36)</f>
        <v>9625.93</v>
      </c>
      <c r="J36" s="8">
        <f t="shared" si="7"/>
        <v>481.29650000000004</v>
      </c>
      <c r="K36" s="8">
        <v>960.19</v>
      </c>
      <c r="L36" s="92">
        <f t="shared" si="9"/>
        <v>11067.416500000001</v>
      </c>
      <c r="M36" s="90">
        <v>11067.416500000001</v>
      </c>
      <c r="N36" s="168">
        <f t="shared" si="10"/>
        <v>0</v>
      </c>
      <c r="O36" s="166"/>
      <c r="P36" s="88"/>
    </row>
    <row r="37" spans="1:16" ht="17.25" customHeight="1" x14ac:dyDescent="0.2">
      <c r="A37" s="25">
        <v>45016</v>
      </c>
      <c r="B37" s="52" t="s">
        <v>307</v>
      </c>
      <c r="C37" s="10" t="s">
        <v>310</v>
      </c>
      <c r="D37" s="56">
        <v>43.25</v>
      </c>
      <c r="E37" s="63">
        <f>160.25-D37</f>
        <v>117</v>
      </c>
      <c r="F37" s="11">
        <f>+D37*125</f>
        <v>5406.25</v>
      </c>
      <c r="G37" s="11">
        <f>12007.33-F37</f>
        <v>6601.08</v>
      </c>
      <c r="H37" s="158">
        <v>1317.1</v>
      </c>
      <c r="I37" s="20">
        <f t="shared" si="6"/>
        <v>13324.43</v>
      </c>
      <c r="J37" s="8">
        <f t="shared" si="7"/>
        <v>666.22150000000011</v>
      </c>
      <c r="K37" s="8">
        <f t="shared" si="8"/>
        <v>1329.1118925000001</v>
      </c>
      <c r="L37" s="92">
        <f t="shared" si="9"/>
        <v>15319.763392500001</v>
      </c>
      <c r="M37" s="90">
        <v>15319.763392500001</v>
      </c>
      <c r="N37" s="168">
        <f t="shared" si="10"/>
        <v>0</v>
      </c>
      <c r="O37" s="166"/>
      <c r="P37" s="88"/>
    </row>
    <row r="38" spans="1:16" ht="17.25" customHeight="1" x14ac:dyDescent="0.2">
      <c r="A38" s="25">
        <v>45046</v>
      </c>
      <c r="B38" s="52" t="s">
        <v>313</v>
      </c>
      <c r="C38" s="10" t="s">
        <v>314</v>
      </c>
      <c r="D38" s="56">
        <v>23.5</v>
      </c>
      <c r="E38" s="63">
        <f>102.25-D38</f>
        <v>78.75</v>
      </c>
      <c r="F38" s="11">
        <f t="shared" ref="F38:F53" si="11">+D38*125</f>
        <v>2937.5</v>
      </c>
      <c r="G38" s="11">
        <f>7193.5-F38</f>
        <v>4256</v>
      </c>
      <c r="H38" s="158">
        <v>212.78</v>
      </c>
      <c r="I38" s="20">
        <f t="shared" si="6"/>
        <v>7406.28</v>
      </c>
      <c r="J38" s="8">
        <f t="shared" si="7"/>
        <v>370.31400000000002</v>
      </c>
      <c r="K38" s="8">
        <f t="shared" si="8"/>
        <v>738.77643</v>
      </c>
      <c r="L38" s="92">
        <f t="shared" ref="L38:L40" si="12">SUM(I38:K38)</f>
        <v>8515.3704300000009</v>
      </c>
      <c r="M38" s="90">
        <v>8515.3704300000009</v>
      </c>
      <c r="N38" s="168">
        <f t="shared" ref="N38:N40" si="13">+L38-M38</f>
        <v>0</v>
      </c>
      <c r="O38" s="166"/>
      <c r="P38" s="88"/>
    </row>
    <row r="39" spans="1:16" ht="17.25" customHeight="1" x14ac:dyDescent="0.2">
      <c r="A39" s="25">
        <v>45085</v>
      </c>
      <c r="B39" s="52" t="s">
        <v>320</v>
      </c>
      <c r="C39" s="10" t="s">
        <v>322</v>
      </c>
      <c r="D39" s="56">
        <v>31.5</v>
      </c>
      <c r="E39" s="63">
        <f>107-D39</f>
        <v>75.5</v>
      </c>
      <c r="F39" s="11">
        <f t="shared" si="11"/>
        <v>3937.5</v>
      </c>
      <c r="G39" s="11">
        <f>7895.2-F39</f>
        <v>3957.7</v>
      </c>
      <c r="H39" s="158">
        <v>809.85</v>
      </c>
      <c r="I39" s="20">
        <f t="shared" ref="I39:I40" si="14">SUM(F39:H39)</f>
        <v>8705.0499999999993</v>
      </c>
      <c r="J39" s="8">
        <f t="shared" ref="J39:J40" si="15">+I39*0.05</f>
        <v>435.2525</v>
      </c>
      <c r="K39" s="8">
        <f t="shared" ref="K39:K40" si="16">+I39*0.09975</f>
        <v>868.32873749999999</v>
      </c>
      <c r="L39" s="92">
        <f t="shared" si="12"/>
        <v>10008.6312375</v>
      </c>
      <c r="M39" s="90">
        <v>10008.6312375</v>
      </c>
      <c r="N39" s="168">
        <f t="shared" si="13"/>
        <v>0</v>
      </c>
      <c r="O39" s="166"/>
      <c r="P39" s="88"/>
    </row>
    <row r="40" spans="1:16" ht="17.25" customHeight="1" x14ac:dyDescent="0.2">
      <c r="A40" s="25">
        <v>45107</v>
      </c>
      <c r="B40" s="52" t="s">
        <v>327</v>
      </c>
      <c r="C40" s="10" t="s">
        <v>329</v>
      </c>
      <c r="D40" s="56">
        <v>10.25</v>
      </c>
      <c r="E40" s="63">
        <f>43-D40</f>
        <v>32.75</v>
      </c>
      <c r="F40" s="11">
        <f t="shared" si="11"/>
        <v>1281.25</v>
      </c>
      <c r="G40" s="11">
        <f>2861.34-F40</f>
        <v>1580.0900000000001</v>
      </c>
      <c r="H40" s="158">
        <v>116.29</v>
      </c>
      <c r="I40" s="20">
        <f t="shared" si="14"/>
        <v>2977.63</v>
      </c>
      <c r="J40" s="8">
        <f t="shared" si="15"/>
        <v>148.88150000000002</v>
      </c>
      <c r="K40" s="8">
        <f t="shared" si="16"/>
        <v>297.01859250000001</v>
      </c>
      <c r="L40" s="92">
        <f t="shared" si="12"/>
        <v>3423.5300925000001</v>
      </c>
      <c r="M40" s="90">
        <v>3423.5300925000001</v>
      </c>
      <c r="N40" s="168">
        <f t="shared" si="13"/>
        <v>0</v>
      </c>
      <c r="O40" s="166"/>
      <c r="P40" s="88"/>
    </row>
    <row r="41" spans="1:16" ht="17.25" customHeight="1" x14ac:dyDescent="0.2">
      <c r="A41" s="25">
        <v>45138</v>
      </c>
      <c r="B41" s="52" t="s">
        <v>333</v>
      </c>
      <c r="C41" s="10" t="s">
        <v>332</v>
      </c>
      <c r="D41" s="56">
        <v>16.5</v>
      </c>
      <c r="E41" s="63">
        <v>30.5</v>
      </c>
      <c r="F41" s="11">
        <f t="shared" si="11"/>
        <v>2062.5</v>
      </c>
      <c r="G41" s="11">
        <f>598.5+817</f>
        <v>1415.5</v>
      </c>
      <c r="H41" s="158"/>
      <c r="I41" s="20">
        <f t="shared" ref="I41:I45" si="17">SUM(F41:H41)</f>
        <v>3478</v>
      </c>
      <c r="J41" s="8">
        <f t="shared" ref="J41:J45" si="18">+I41*0.05</f>
        <v>173.9</v>
      </c>
      <c r="K41" s="8">
        <f t="shared" ref="K41:K44" si="19">+I41*0.09975</f>
        <v>346.93049999999999</v>
      </c>
      <c r="L41" s="92">
        <f t="shared" ref="L41:L45" si="20">SUM(I41:K41)</f>
        <v>3998.8305</v>
      </c>
      <c r="M41" s="90">
        <v>3998.8305</v>
      </c>
      <c r="N41" s="168">
        <f t="shared" ref="N41:N46" si="21">+L41-M41</f>
        <v>0</v>
      </c>
      <c r="O41" s="166"/>
      <c r="P41" s="88"/>
    </row>
    <row r="42" spans="1:16" ht="17.25" customHeight="1" x14ac:dyDescent="0.2">
      <c r="A42" s="25">
        <v>45171</v>
      </c>
      <c r="B42" s="52" t="s">
        <v>341</v>
      </c>
      <c r="C42" s="10" t="s">
        <v>340</v>
      </c>
      <c r="D42" s="56">
        <v>57.25</v>
      </c>
      <c r="E42" s="63">
        <f>185.5-D42</f>
        <v>128.25</v>
      </c>
      <c r="F42" s="11">
        <f t="shared" si="11"/>
        <v>7156.25</v>
      </c>
      <c r="G42" s="11">
        <f>13243.23-F42</f>
        <v>6086.98</v>
      </c>
      <c r="H42" s="158"/>
      <c r="I42" s="20">
        <f t="shared" si="17"/>
        <v>13243.23</v>
      </c>
      <c r="J42" s="8">
        <f t="shared" si="18"/>
        <v>662.16150000000005</v>
      </c>
      <c r="K42" s="8">
        <f t="shared" si="19"/>
        <v>1321.0121925000001</v>
      </c>
      <c r="L42" s="92">
        <f t="shared" si="20"/>
        <v>15226.4036925</v>
      </c>
      <c r="M42" s="90">
        <v>15226.4036925</v>
      </c>
      <c r="N42" s="168">
        <f t="shared" si="21"/>
        <v>0</v>
      </c>
      <c r="O42" s="166"/>
      <c r="P42" s="88"/>
    </row>
    <row r="43" spans="1:16" ht="17.25" customHeight="1" x14ac:dyDescent="0.2">
      <c r="A43" s="25">
        <v>45199</v>
      </c>
      <c r="B43" s="52" t="s">
        <v>358</v>
      </c>
      <c r="C43" s="10" t="s">
        <v>360</v>
      </c>
      <c r="D43" s="56">
        <f>0.5+40.75</f>
        <v>41.25</v>
      </c>
      <c r="E43" s="63">
        <f>76.25-D43</f>
        <v>35</v>
      </c>
      <c r="F43" s="11">
        <f t="shared" si="11"/>
        <v>5156.25</v>
      </c>
      <c r="G43" s="11">
        <f>6811.63-F43</f>
        <v>1655.38</v>
      </c>
      <c r="H43" s="158">
        <v>423.88</v>
      </c>
      <c r="I43" s="20">
        <f t="shared" si="17"/>
        <v>7235.51</v>
      </c>
      <c r="J43" s="8">
        <f t="shared" si="18"/>
        <v>361.77550000000002</v>
      </c>
      <c r="K43" s="8">
        <f t="shared" si="19"/>
        <v>721.74212250000005</v>
      </c>
      <c r="L43" s="92">
        <f t="shared" si="20"/>
        <v>8319.0276224999998</v>
      </c>
      <c r="M43" s="90">
        <v>8319.0276224999998</v>
      </c>
      <c r="N43" s="168">
        <f t="shared" si="21"/>
        <v>0</v>
      </c>
      <c r="O43" s="166"/>
      <c r="P43" s="88"/>
    </row>
    <row r="44" spans="1:16" ht="17.25" customHeight="1" x14ac:dyDescent="0.2">
      <c r="A44" s="25">
        <v>45230</v>
      </c>
      <c r="B44" s="52" t="s">
        <v>364</v>
      </c>
      <c r="C44" s="10" t="s">
        <v>367</v>
      </c>
      <c r="D44" s="56">
        <v>14.5</v>
      </c>
      <c r="E44" s="63">
        <f>21.25-D44</f>
        <v>6.75</v>
      </c>
      <c r="F44" s="11">
        <f t="shared" si="11"/>
        <v>1812.5</v>
      </c>
      <c r="G44" s="11">
        <f>2221.95-F44</f>
        <v>409.44999999999982</v>
      </c>
      <c r="H44" s="158"/>
      <c r="I44" s="20">
        <f t="shared" si="17"/>
        <v>2221.9499999999998</v>
      </c>
      <c r="J44" s="8">
        <f t="shared" si="18"/>
        <v>111.0975</v>
      </c>
      <c r="K44" s="8">
        <f t="shared" si="19"/>
        <v>221.6395125</v>
      </c>
      <c r="L44" s="92">
        <f t="shared" si="20"/>
        <v>2554.6870124999996</v>
      </c>
      <c r="M44" s="90">
        <v>2554.6870124999996</v>
      </c>
      <c r="N44" s="168">
        <f t="shared" si="21"/>
        <v>0</v>
      </c>
      <c r="O44" s="166"/>
      <c r="P44" s="88"/>
    </row>
    <row r="45" spans="1:16" ht="17.25" customHeight="1" x14ac:dyDescent="0.2">
      <c r="A45" s="25">
        <v>45262</v>
      </c>
      <c r="B45" s="52" t="s">
        <v>371</v>
      </c>
      <c r="C45" s="10" t="s">
        <v>372</v>
      </c>
      <c r="D45" s="56">
        <v>27.75</v>
      </c>
      <c r="E45" s="63">
        <f>48.75-D45</f>
        <v>21</v>
      </c>
      <c r="F45" s="11">
        <f t="shared" si="11"/>
        <v>3468.75</v>
      </c>
      <c r="G45" s="11">
        <f>4638.44-F45</f>
        <v>1169.6899999999996</v>
      </c>
      <c r="H45" s="158"/>
      <c r="I45" s="20">
        <f t="shared" si="17"/>
        <v>4638.4399999999996</v>
      </c>
      <c r="J45" s="8">
        <f t="shared" si="18"/>
        <v>231.922</v>
      </c>
      <c r="K45" s="8">
        <f>+I45*0.09975-0.005</f>
        <v>462.67939000000001</v>
      </c>
      <c r="L45" s="92">
        <f t="shared" si="20"/>
        <v>5333.0413899999994</v>
      </c>
      <c r="M45" s="90">
        <v>5333.0413899999994</v>
      </c>
      <c r="N45" s="168">
        <f t="shared" si="21"/>
        <v>0</v>
      </c>
      <c r="O45" s="166"/>
      <c r="P45" s="88"/>
    </row>
    <row r="46" spans="1:16" ht="17.25" customHeight="1" x14ac:dyDescent="0.2">
      <c r="A46" s="25">
        <v>45291</v>
      </c>
      <c r="B46" s="52" t="s">
        <v>381</v>
      </c>
      <c r="C46" s="10" t="s">
        <v>383</v>
      </c>
      <c r="D46" s="56">
        <v>12.5</v>
      </c>
      <c r="E46" s="63">
        <v>37.5</v>
      </c>
      <c r="F46" s="11">
        <f t="shared" si="11"/>
        <v>1562.5</v>
      </c>
      <c r="G46" s="11">
        <f>243.2+1432.13</f>
        <v>1675.3300000000002</v>
      </c>
      <c r="H46" s="158"/>
      <c r="I46" s="20">
        <f t="shared" ref="I46" si="22">SUM(F46:H46)</f>
        <v>3237.83</v>
      </c>
      <c r="J46" s="8">
        <f t="shared" ref="J46" si="23">+I46*0.05</f>
        <v>161.89150000000001</v>
      </c>
      <c r="K46" s="8">
        <f>+I46*0.09975-0.005</f>
        <v>322.96854250000001</v>
      </c>
      <c r="L46" s="92">
        <f t="shared" ref="L46" si="24">SUM(I46:K46)</f>
        <v>3722.6900425000003</v>
      </c>
      <c r="M46" s="90">
        <v>3722.6900425000003</v>
      </c>
      <c r="N46" s="168">
        <f t="shared" si="21"/>
        <v>0</v>
      </c>
      <c r="O46" s="166"/>
      <c r="P46" s="88"/>
    </row>
    <row r="47" spans="1:16" ht="17.25" customHeight="1" x14ac:dyDescent="0.2">
      <c r="A47" s="25">
        <v>45341</v>
      </c>
      <c r="B47" s="52" t="s">
        <v>385</v>
      </c>
      <c r="C47" s="10" t="s">
        <v>390</v>
      </c>
      <c r="D47" s="56">
        <v>8.5</v>
      </c>
      <c r="E47" s="63">
        <v>2.75</v>
      </c>
      <c r="F47" s="11">
        <f t="shared" si="11"/>
        <v>1062.5</v>
      </c>
      <c r="G47" s="11">
        <f>1193.6-F47</f>
        <v>131.09999999999991</v>
      </c>
      <c r="H47" s="158"/>
      <c r="I47" s="20">
        <f t="shared" ref="I47:I48" si="25">SUM(F47:H47)</f>
        <v>1193.5999999999999</v>
      </c>
      <c r="J47" s="8">
        <f t="shared" ref="J47:J49" si="26">+I47*0.05</f>
        <v>59.68</v>
      </c>
      <c r="K47" s="8">
        <f>+I47*0.09975</f>
        <v>119.0616</v>
      </c>
      <c r="L47" s="92">
        <f t="shared" ref="L47:L49" si="27">SUM(I47:K47)</f>
        <v>1372.3416</v>
      </c>
      <c r="M47" s="90">
        <v>1372.3416</v>
      </c>
      <c r="N47" s="168">
        <f t="shared" ref="N47:N49" si="28">+L47-M47</f>
        <v>0</v>
      </c>
      <c r="O47" s="166"/>
      <c r="P47" s="88"/>
    </row>
    <row r="48" spans="1:16" ht="17.25" customHeight="1" x14ac:dyDescent="0.2">
      <c r="A48" s="25">
        <v>45382</v>
      </c>
      <c r="B48" s="52" t="s">
        <v>386</v>
      </c>
      <c r="C48" s="10" t="s">
        <v>391</v>
      </c>
      <c r="D48" s="56">
        <v>13.75</v>
      </c>
      <c r="E48" s="63">
        <v>43.75</v>
      </c>
      <c r="F48" s="11">
        <f t="shared" si="11"/>
        <v>1718.75</v>
      </c>
      <c r="G48" s="11">
        <f>1838.25+45.6</f>
        <v>1883.85</v>
      </c>
      <c r="H48" s="158"/>
      <c r="I48" s="20">
        <f t="shared" si="25"/>
        <v>3602.6</v>
      </c>
      <c r="J48" s="8">
        <f t="shared" si="26"/>
        <v>180.13</v>
      </c>
      <c r="K48" s="8">
        <f t="shared" ref="K48:K49" si="29">+I48*0.09975</f>
        <v>359.35935000000001</v>
      </c>
      <c r="L48" s="92">
        <f t="shared" si="27"/>
        <v>4142.0893500000002</v>
      </c>
      <c r="M48" s="90">
        <v>4142.0893500000002</v>
      </c>
      <c r="N48" s="168">
        <f t="shared" si="28"/>
        <v>0</v>
      </c>
      <c r="O48" s="166"/>
      <c r="P48" s="88"/>
    </row>
    <row r="49" spans="1:16" ht="17.25" customHeight="1" x14ac:dyDescent="0.2">
      <c r="A49" s="25">
        <v>45397</v>
      </c>
      <c r="B49" s="52" t="s">
        <v>387</v>
      </c>
      <c r="C49" s="10" t="s">
        <v>392</v>
      </c>
      <c r="D49" s="56">
        <v>10.25</v>
      </c>
      <c r="E49" s="63">
        <v>4</v>
      </c>
      <c r="F49" s="11">
        <f t="shared" si="11"/>
        <v>1281.25</v>
      </c>
      <c r="G49" s="11">
        <v>171</v>
      </c>
      <c r="H49" s="158"/>
      <c r="I49" s="20">
        <f t="shared" ref="I49:I55" si="30">SUM(F49:H49)</f>
        <v>1452.25</v>
      </c>
      <c r="J49" s="8">
        <f t="shared" si="26"/>
        <v>72.612499999999997</v>
      </c>
      <c r="K49" s="8">
        <f t="shared" si="29"/>
        <v>144.86193750000001</v>
      </c>
      <c r="L49" s="92">
        <f t="shared" si="27"/>
        <v>1669.7244375</v>
      </c>
      <c r="M49" s="90">
        <v>1669.7244375</v>
      </c>
      <c r="N49" s="168">
        <f t="shared" si="28"/>
        <v>0</v>
      </c>
      <c r="O49" s="166"/>
      <c r="P49" s="88"/>
    </row>
    <row r="50" spans="1:16" ht="17.25" customHeight="1" x14ac:dyDescent="0.2">
      <c r="A50" s="25">
        <v>45427</v>
      </c>
      <c r="B50" s="52" t="s">
        <v>400</v>
      </c>
      <c r="C50" s="10" t="s">
        <v>408</v>
      </c>
      <c r="D50" s="56">
        <v>9.5</v>
      </c>
      <c r="E50" s="63">
        <v>5</v>
      </c>
      <c r="F50" s="11">
        <f t="shared" si="11"/>
        <v>1187.5</v>
      </c>
      <c r="G50" s="11">
        <v>226.6</v>
      </c>
      <c r="H50" s="158"/>
      <c r="I50" s="20">
        <f t="shared" si="30"/>
        <v>1414.1</v>
      </c>
      <c r="J50" s="8">
        <f t="shared" ref="J50:J52" si="31">+I50*0.05</f>
        <v>70.704999999999998</v>
      </c>
      <c r="K50" s="8">
        <f t="shared" ref="K50:K52" si="32">+I50*0.09975</f>
        <v>141.05647500000001</v>
      </c>
      <c r="L50" s="92">
        <f t="shared" ref="L50:L52" si="33">SUM(I50:K50)</f>
        <v>1625.8614749999999</v>
      </c>
      <c r="M50" s="90">
        <v>1625.8614749999999</v>
      </c>
      <c r="N50" s="168">
        <f t="shared" ref="N50:N52" si="34">+L50-M50</f>
        <v>0</v>
      </c>
      <c r="O50" s="166"/>
      <c r="P50" s="88"/>
    </row>
    <row r="51" spans="1:16" ht="17.25" customHeight="1" x14ac:dyDescent="0.2">
      <c r="A51" s="25">
        <v>45458</v>
      </c>
      <c r="B51" s="52" t="s">
        <v>401</v>
      </c>
      <c r="C51" s="10" t="s">
        <v>409</v>
      </c>
      <c r="D51" s="56">
        <v>8.5</v>
      </c>
      <c r="E51" s="63">
        <v>2.25</v>
      </c>
      <c r="F51" s="11">
        <f t="shared" si="11"/>
        <v>1062.5</v>
      </c>
      <c r="G51" s="11">
        <v>101.97</v>
      </c>
      <c r="H51" s="158"/>
      <c r="I51" s="20">
        <f t="shared" si="30"/>
        <v>1164.47</v>
      </c>
      <c r="J51" s="8">
        <f t="shared" si="31"/>
        <v>58.223500000000001</v>
      </c>
      <c r="K51" s="8">
        <f t="shared" si="32"/>
        <v>116.1558825</v>
      </c>
      <c r="L51" s="92">
        <f t="shared" si="33"/>
        <v>1338.8493825</v>
      </c>
      <c r="M51" s="90">
        <v>1338.8493825</v>
      </c>
      <c r="N51" s="168">
        <f t="shared" si="34"/>
        <v>0</v>
      </c>
      <c r="O51" s="166"/>
      <c r="P51" s="88"/>
    </row>
    <row r="52" spans="1:16" ht="17.25" customHeight="1" x14ac:dyDescent="0.2">
      <c r="A52" s="25">
        <v>45481</v>
      </c>
      <c r="B52" s="52" t="s">
        <v>402</v>
      </c>
      <c r="C52" s="10" t="s">
        <v>410</v>
      </c>
      <c r="D52" s="56">
        <v>6.5</v>
      </c>
      <c r="E52" s="63">
        <v>1.5</v>
      </c>
      <c r="F52" s="11">
        <f t="shared" si="11"/>
        <v>812.5</v>
      </c>
      <c r="G52" s="11">
        <f>45.32+27.31</f>
        <v>72.63</v>
      </c>
      <c r="H52" s="158"/>
      <c r="I52" s="20">
        <f t="shared" si="30"/>
        <v>885.13</v>
      </c>
      <c r="J52" s="8">
        <f t="shared" si="31"/>
        <v>44.256500000000003</v>
      </c>
      <c r="K52" s="8">
        <f t="shared" si="32"/>
        <v>88.291717500000004</v>
      </c>
      <c r="L52" s="92">
        <f t="shared" si="33"/>
        <v>1017.6782175</v>
      </c>
      <c r="M52" s="90">
        <v>1017.6782175</v>
      </c>
      <c r="N52" s="168">
        <f t="shared" si="34"/>
        <v>0</v>
      </c>
      <c r="O52" s="166"/>
      <c r="P52" s="88"/>
    </row>
    <row r="53" spans="1:16" ht="17.25" customHeight="1" x14ac:dyDescent="0.2">
      <c r="A53" s="25">
        <v>45504</v>
      </c>
      <c r="B53" s="52" t="s">
        <v>419</v>
      </c>
      <c r="C53" s="10" t="s">
        <v>434</v>
      </c>
      <c r="D53" s="56">
        <v>6.5</v>
      </c>
      <c r="E53" s="63">
        <v>1</v>
      </c>
      <c r="F53" s="11">
        <f t="shared" si="11"/>
        <v>812.5</v>
      </c>
      <c r="G53" s="11">
        <v>45.32</v>
      </c>
      <c r="H53" s="158"/>
      <c r="I53" s="20">
        <f t="shared" si="30"/>
        <v>857.82</v>
      </c>
      <c r="J53" s="8">
        <f t="shared" ref="J53:J55" si="35">+I53*0.05</f>
        <v>42.891000000000005</v>
      </c>
      <c r="K53" s="8">
        <f t="shared" ref="K53:K55" si="36">+I53*0.09975</f>
        <v>85.56754500000001</v>
      </c>
      <c r="L53" s="92">
        <f t="shared" ref="L53:L55" si="37">SUM(I53:K53)</f>
        <v>986.27854500000001</v>
      </c>
      <c r="M53" s="90">
        <v>986.27854500000001</v>
      </c>
      <c r="N53" s="168">
        <f t="shared" ref="N53:N58" si="38">+L53-M53</f>
        <v>0</v>
      </c>
      <c r="O53" s="166"/>
      <c r="P53" s="88"/>
    </row>
    <row r="54" spans="1:16" ht="17.25" customHeight="1" x14ac:dyDescent="0.2">
      <c r="A54" s="25">
        <v>45551</v>
      </c>
      <c r="B54" s="52" t="s">
        <v>420</v>
      </c>
      <c r="C54" s="10" t="s">
        <v>433</v>
      </c>
      <c r="D54" s="56">
        <v>6.25</v>
      </c>
      <c r="E54" s="63">
        <v>0</v>
      </c>
      <c r="F54" s="11">
        <f t="shared" ref="F54:F67" si="39">+D54*125</f>
        <v>781.25</v>
      </c>
      <c r="G54" s="11">
        <v>0</v>
      </c>
      <c r="H54" s="158"/>
      <c r="I54" s="20">
        <f t="shared" si="30"/>
        <v>781.25</v>
      </c>
      <c r="J54" s="8">
        <f t="shared" si="35"/>
        <v>39.0625</v>
      </c>
      <c r="K54" s="8">
        <f t="shared" si="36"/>
        <v>77.9296875</v>
      </c>
      <c r="L54" s="92">
        <f t="shared" si="37"/>
        <v>898.2421875</v>
      </c>
      <c r="M54" s="90">
        <v>898.2421875</v>
      </c>
      <c r="N54" s="168">
        <f t="shared" si="38"/>
        <v>0</v>
      </c>
      <c r="O54" s="166"/>
      <c r="P54" s="88"/>
    </row>
    <row r="55" spans="1:16" ht="17.25" customHeight="1" x14ac:dyDescent="0.2">
      <c r="A55" s="25">
        <v>45565</v>
      </c>
      <c r="B55" s="52" t="s">
        <v>421</v>
      </c>
      <c r="C55" s="10" t="s">
        <v>439</v>
      </c>
      <c r="D55" s="56">
        <v>1</v>
      </c>
      <c r="E55" s="63">
        <v>0.25</v>
      </c>
      <c r="F55" s="11">
        <f t="shared" si="39"/>
        <v>125</v>
      </c>
      <c r="G55" s="11">
        <v>19.38</v>
      </c>
      <c r="H55" s="158"/>
      <c r="I55" s="20">
        <f t="shared" si="30"/>
        <v>144.38</v>
      </c>
      <c r="J55" s="8">
        <f t="shared" si="35"/>
        <v>7.2190000000000003</v>
      </c>
      <c r="K55" s="8">
        <f t="shared" si="36"/>
        <v>14.401905000000001</v>
      </c>
      <c r="L55" s="92">
        <f t="shared" si="37"/>
        <v>166.00090499999999</v>
      </c>
      <c r="M55" s="90">
        <v>166.00090499999999</v>
      </c>
      <c r="N55" s="168">
        <f t="shared" si="38"/>
        <v>0</v>
      </c>
      <c r="O55" s="166">
        <v>50000</v>
      </c>
      <c r="P55" s="88"/>
    </row>
    <row r="56" spans="1:16" ht="17.25" customHeight="1" x14ac:dyDescent="0.2">
      <c r="A56" s="25">
        <v>45607</v>
      </c>
      <c r="B56" s="52" t="s">
        <v>448</v>
      </c>
      <c r="C56" s="10" t="s">
        <v>452</v>
      </c>
      <c r="D56" s="56">
        <v>1.75</v>
      </c>
      <c r="E56" s="63">
        <v>0</v>
      </c>
      <c r="F56" s="11">
        <f t="shared" si="39"/>
        <v>218.75</v>
      </c>
      <c r="G56" s="11">
        <v>0</v>
      </c>
      <c r="H56" s="158"/>
      <c r="I56" s="20">
        <f t="shared" ref="I56:I58" si="40">SUM(F56:H56)</f>
        <v>218.75</v>
      </c>
      <c r="J56" s="8">
        <f t="shared" ref="J56:J58" si="41">+I56*0.05</f>
        <v>10.9375</v>
      </c>
      <c r="K56" s="8">
        <f t="shared" ref="K56:K58" si="42">+I56*0.09975</f>
        <v>21.8203125</v>
      </c>
      <c r="L56" s="92">
        <f t="shared" ref="L56:L58" si="43">SUM(I56:K56)</f>
        <v>251.5078125</v>
      </c>
      <c r="M56" s="90">
        <v>251.5078125</v>
      </c>
      <c r="N56" s="168">
        <f t="shared" si="38"/>
        <v>0</v>
      </c>
      <c r="O56" s="166"/>
      <c r="P56" s="88"/>
    </row>
    <row r="57" spans="1:16" ht="17.25" customHeight="1" x14ac:dyDescent="0.2">
      <c r="A57" s="25">
        <v>45635</v>
      </c>
      <c r="B57" s="52" t="s">
        <v>445</v>
      </c>
      <c r="C57" s="10" t="s">
        <v>453</v>
      </c>
      <c r="D57" s="56">
        <v>1.25</v>
      </c>
      <c r="E57" s="63">
        <v>2</v>
      </c>
      <c r="F57" s="11">
        <f t="shared" si="39"/>
        <v>156.25</v>
      </c>
      <c r="G57" s="11">
        <v>95</v>
      </c>
      <c r="H57" s="158"/>
      <c r="I57" s="20">
        <f t="shared" si="40"/>
        <v>251.25</v>
      </c>
      <c r="J57" s="8">
        <f t="shared" si="41"/>
        <v>12.5625</v>
      </c>
      <c r="K57" s="8">
        <f t="shared" si="42"/>
        <v>25.0621875</v>
      </c>
      <c r="L57" s="92">
        <f t="shared" si="43"/>
        <v>288.87468749999999</v>
      </c>
      <c r="M57" s="90">
        <v>288.87468749999999</v>
      </c>
      <c r="N57" s="168">
        <f t="shared" si="38"/>
        <v>0</v>
      </c>
      <c r="O57" s="166"/>
      <c r="P57" s="88"/>
    </row>
    <row r="58" spans="1:16" ht="17.25" customHeight="1" x14ac:dyDescent="0.2">
      <c r="A58" s="25">
        <v>45657</v>
      </c>
      <c r="B58" s="52" t="s">
        <v>447</v>
      </c>
      <c r="C58" s="10" t="s">
        <v>458</v>
      </c>
      <c r="D58" s="56">
        <v>3.75</v>
      </c>
      <c r="E58" s="63">
        <v>0</v>
      </c>
      <c r="F58" s="11">
        <f t="shared" si="39"/>
        <v>468.75</v>
      </c>
      <c r="G58" s="11">
        <v>0</v>
      </c>
      <c r="H58" s="158"/>
      <c r="I58" s="20">
        <f t="shared" si="40"/>
        <v>468.75</v>
      </c>
      <c r="J58" s="8">
        <f t="shared" si="41"/>
        <v>23.4375</v>
      </c>
      <c r="K58" s="8">
        <f t="shared" si="42"/>
        <v>46.7578125</v>
      </c>
      <c r="L58" s="92">
        <f t="shared" si="43"/>
        <v>538.9453125</v>
      </c>
      <c r="M58" s="90">
        <v>538.9453125</v>
      </c>
      <c r="N58" s="168">
        <f t="shared" si="38"/>
        <v>0</v>
      </c>
      <c r="O58" s="166"/>
      <c r="P58" s="88"/>
    </row>
    <row r="59" spans="1:16" ht="17.25" customHeight="1" x14ac:dyDescent="0.2">
      <c r="A59" s="25">
        <v>45688</v>
      </c>
      <c r="B59" s="52" t="s">
        <v>460</v>
      </c>
      <c r="C59" s="10" t="s">
        <v>466</v>
      </c>
      <c r="D59" s="56">
        <v>0.25</v>
      </c>
      <c r="E59" s="63"/>
      <c r="F59" s="11">
        <f t="shared" si="39"/>
        <v>31.25</v>
      </c>
      <c r="G59" s="11">
        <v>0</v>
      </c>
      <c r="H59" s="158"/>
      <c r="I59" s="20">
        <f t="shared" ref="I59:I60" si="44">SUM(F59:H59)</f>
        <v>31.25</v>
      </c>
      <c r="J59" s="8">
        <f t="shared" ref="J59:J60" si="45">+I59*0.05</f>
        <v>1.5625</v>
      </c>
      <c r="K59" s="8">
        <f t="shared" ref="K59:K60" si="46">+I59*0.09975</f>
        <v>3.1171875</v>
      </c>
      <c r="L59" s="92">
        <f t="shared" ref="L59:L60" si="47">SUM(I59:K59)</f>
        <v>35.9296875</v>
      </c>
      <c r="M59" s="90">
        <v>35.9296875</v>
      </c>
      <c r="N59" s="168">
        <f t="shared" ref="N59:N60" si="48">+L59-M59</f>
        <v>0</v>
      </c>
      <c r="O59" s="166"/>
      <c r="P59" s="88"/>
    </row>
    <row r="60" spans="1:16" ht="17.25" customHeight="1" x14ac:dyDescent="0.2">
      <c r="A60" s="25">
        <v>45716</v>
      </c>
      <c r="B60" s="52" t="s">
        <v>461</v>
      </c>
      <c r="C60" s="10" t="s">
        <v>467</v>
      </c>
      <c r="D60" s="56">
        <v>2.75</v>
      </c>
      <c r="E60" s="63">
        <v>0.5</v>
      </c>
      <c r="F60" s="11">
        <f t="shared" si="39"/>
        <v>343.75</v>
      </c>
      <c r="G60" s="11">
        <v>31</v>
      </c>
      <c r="H60" s="158"/>
      <c r="I60" s="20">
        <f t="shared" si="44"/>
        <v>374.75</v>
      </c>
      <c r="J60" s="8">
        <f t="shared" si="45"/>
        <v>18.737500000000001</v>
      </c>
      <c r="K60" s="8">
        <f t="shared" si="46"/>
        <v>37.3813125</v>
      </c>
      <c r="L60" s="92">
        <f t="shared" si="47"/>
        <v>430.86881249999999</v>
      </c>
      <c r="M60" s="90">
        <v>430.86881249999999</v>
      </c>
      <c r="N60" s="168">
        <f t="shared" si="48"/>
        <v>0</v>
      </c>
      <c r="O60" s="166"/>
      <c r="P60" s="88"/>
    </row>
    <row r="61" spans="1:16" ht="17.25" customHeight="1" x14ac:dyDescent="0.2">
      <c r="A61" s="25">
        <v>45747</v>
      </c>
      <c r="B61" s="52" t="s">
        <v>462</v>
      </c>
      <c r="C61" s="10"/>
      <c r="D61" s="56"/>
      <c r="E61" s="63"/>
      <c r="F61" s="11"/>
      <c r="G61" s="11"/>
      <c r="H61" s="158"/>
      <c r="I61" s="20">
        <f t="shared" ref="I61" si="49">SUM(F61:H61)</f>
        <v>0</v>
      </c>
      <c r="J61" s="8">
        <f t="shared" ref="J61" si="50">+I61*0.05</f>
        <v>0</v>
      </c>
      <c r="K61" s="8">
        <f t="shared" ref="K61" si="51">+I61*0.09975</f>
        <v>0</v>
      </c>
      <c r="L61" s="92">
        <f t="shared" ref="L61" si="52">SUM(I61:K61)</f>
        <v>0</v>
      </c>
      <c r="M61" s="90">
        <v>0</v>
      </c>
      <c r="N61" s="168">
        <f t="shared" ref="N61:N62" si="53">+L61-M61</f>
        <v>0</v>
      </c>
      <c r="O61" s="166"/>
      <c r="P61" s="88"/>
    </row>
    <row r="62" spans="1:16" ht="17.25" customHeight="1" x14ac:dyDescent="0.2">
      <c r="A62" s="25">
        <v>45777</v>
      </c>
      <c r="B62" s="52" t="s">
        <v>475</v>
      </c>
      <c r="C62" s="10" t="s">
        <v>474</v>
      </c>
      <c r="D62" s="56">
        <v>1</v>
      </c>
      <c r="E62" s="63">
        <v>0.5</v>
      </c>
      <c r="F62" s="11">
        <f t="shared" si="39"/>
        <v>125</v>
      </c>
      <c r="G62" s="11">
        <v>29.45</v>
      </c>
      <c r="H62" s="158"/>
      <c r="I62" s="20">
        <f t="shared" ref="I62" si="54">SUM(F62:H62)</f>
        <v>154.44999999999999</v>
      </c>
      <c r="J62" s="8">
        <f t="shared" ref="J62" si="55">+I62*0.05</f>
        <v>7.7225000000000001</v>
      </c>
      <c r="K62" s="8">
        <f t="shared" ref="K62" si="56">+I62*0.09975</f>
        <v>15.406387499999999</v>
      </c>
      <c r="L62" s="92">
        <f t="shared" ref="L62" si="57">SUM(I62:K62)</f>
        <v>177.57888749999998</v>
      </c>
      <c r="M62" s="90">
        <v>177.57888749999998</v>
      </c>
      <c r="N62" s="168">
        <f t="shared" si="53"/>
        <v>0</v>
      </c>
      <c r="O62" s="166"/>
      <c r="P62" s="88"/>
    </row>
    <row r="63" spans="1:16" ht="17.25" customHeight="1" x14ac:dyDescent="0.2">
      <c r="A63" s="25">
        <v>45808</v>
      </c>
      <c r="B63" s="52" t="s">
        <v>476</v>
      </c>
      <c r="C63" s="10" t="s">
        <v>486</v>
      </c>
      <c r="D63" s="56">
        <v>5</v>
      </c>
      <c r="E63" s="63">
        <v>0.5</v>
      </c>
      <c r="F63" s="11">
        <f t="shared" si="39"/>
        <v>625</v>
      </c>
      <c r="G63" s="11">
        <v>29.45</v>
      </c>
      <c r="H63" s="158"/>
      <c r="I63" s="20">
        <f t="shared" ref="I63:I64" si="58">SUM(F63:H63)</f>
        <v>654.45000000000005</v>
      </c>
      <c r="J63" s="8">
        <f t="shared" ref="J63:J64" si="59">+I63*0.05</f>
        <v>32.722500000000004</v>
      </c>
      <c r="K63" s="8">
        <f t="shared" ref="K63:K64" si="60">+I63*0.09975</f>
        <v>65.281387500000008</v>
      </c>
      <c r="L63" s="92">
        <f t="shared" ref="L63:L64" si="61">SUM(I63:K63)</f>
        <v>752.45388750000006</v>
      </c>
      <c r="M63" s="90"/>
      <c r="N63" s="168">
        <f t="shared" ref="N63:N64" si="62">+L63-M63</f>
        <v>752.45388750000006</v>
      </c>
      <c r="O63" s="166"/>
      <c r="P63" s="88"/>
    </row>
    <row r="64" spans="1:16" ht="17.25" customHeight="1" x14ac:dyDescent="0.2">
      <c r="A64" s="25">
        <v>45838</v>
      </c>
      <c r="B64" s="52" t="s">
        <v>485</v>
      </c>
      <c r="C64" s="10" t="s">
        <v>487</v>
      </c>
      <c r="D64" s="56">
        <v>3.25</v>
      </c>
      <c r="E64" s="63">
        <v>0.25</v>
      </c>
      <c r="F64" s="11">
        <f t="shared" si="39"/>
        <v>406.25</v>
      </c>
      <c r="G64" s="11">
        <v>14.73</v>
      </c>
      <c r="H64" s="158"/>
      <c r="I64" s="20">
        <f t="shared" si="58"/>
        <v>420.98</v>
      </c>
      <c r="J64" s="8">
        <f t="shared" si="59"/>
        <v>21.049000000000003</v>
      </c>
      <c r="K64" s="8">
        <f t="shared" si="60"/>
        <v>41.992755000000002</v>
      </c>
      <c r="L64" s="92">
        <f t="shared" si="61"/>
        <v>484.02175499999998</v>
      </c>
      <c r="M64" s="90"/>
      <c r="N64" s="168">
        <f t="shared" si="62"/>
        <v>484.02175499999998</v>
      </c>
      <c r="O64" s="166"/>
      <c r="P64" s="88"/>
    </row>
    <row r="65" spans="1:16" ht="17.25" customHeight="1" x14ac:dyDescent="0.2">
      <c r="A65" s="25">
        <v>45869</v>
      </c>
      <c r="B65" s="52" t="s">
        <v>490</v>
      </c>
      <c r="C65" s="10" t="s">
        <v>495</v>
      </c>
      <c r="D65" s="56">
        <v>1</v>
      </c>
      <c r="E65" s="63">
        <v>1</v>
      </c>
      <c r="F65" s="11">
        <f t="shared" si="39"/>
        <v>125</v>
      </c>
      <c r="G65" s="11">
        <f>189.61-F65</f>
        <v>64.610000000000014</v>
      </c>
      <c r="H65" s="158"/>
      <c r="I65" s="20">
        <f t="shared" ref="I65:I67" si="63">SUM(F65:H65)</f>
        <v>189.61</v>
      </c>
      <c r="J65" s="8">
        <f t="shared" ref="J65:J67" si="64">+I65*0.05</f>
        <v>9.480500000000001</v>
      </c>
      <c r="K65" s="8">
        <f t="shared" ref="K65:K67" si="65">+I65*0.09975</f>
        <v>18.913597500000002</v>
      </c>
      <c r="L65" s="92">
        <f t="shared" ref="L65:L67" si="66">SUM(I65:K65)</f>
        <v>218.00409750000003</v>
      </c>
      <c r="M65" s="90"/>
      <c r="N65" s="168">
        <f t="shared" ref="N65:N67" si="67">+L65-M65</f>
        <v>218.00409750000003</v>
      </c>
      <c r="O65" s="166"/>
      <c r="P65" s="88"/>
    </row>
    <row r="66" spans="1:16" ht="17.25" customHeight="1" x14ac:dyDescent="0.2">
      <c r="A66" s="25">
        <v>45900</v>
      </c>
      <c r="B66" s="52" t="s">
        <v>497</v>
      </c>
      <c r="C66" s="10" t="s">
        <v>496</v>
      </c>
      <c r="D66" s="56">
        <v>0</v>
      </c>
      <c r="E66" s="63">
        <v>1.25</v>
      </c>
      <c r="F66" s="11">
        <f t="shared" si="39"/>
        <v>0</v>
      </c>
      <c r="G66" s="11">
        <v>87.4</v>
      </c>
      <c r="H66" s="158"/>
      <c r="I66" s="20">
        <f t="shared" si="63"/>
        <v>87.4</v>
      </c>
      <c r="J66" s="8">
        <f t="shared" si="64"/>
        <v>4.37</v>
      </c>
      <c r="K66" s="8">
        <f t="shared" si="65"/>
        <v>8.7181500000000014</v>
      </c>
      <c r="L66" s="92">
        <f t="shared" si="66"/>
        <v>100.48815000000002</v>
      </c>
      <c r="M66" s="90"/>
      <c r="N66" s="168">
        <f t="shared" si="67"/>
        <v>100.48815000000002</v>
      </c>
      <c r="O66" s="166"/>
      <c r="P66" s="88"/>
    </row>
    <row r="67" spans="1:16" ht="17.25" customHeight="1" x14ac:dyDescent="0.2">
      <c r="A67" s="25">
        <v>45930</v>
      </c>
      <c r="B67" s="52" t="s">
        <v>499</v>
      </c>
      <c r="C67" s="10" t="s">
        <v>498</v>
      </c>
      <c r="D67" s="56">
        <v>1.5</v>
      </c>
      <c r="E67" s="63">
        <v>0.25</v>
      </c>
      <c r="F67" s="11">
        <f t="shared" si="39"/>
        <v>187.5</v>
      </c>
      <c r="G67" s="11">
        <v>16.63</v>
      </c>
      <c r="H67" s="158"/>
      <c r="I67" s="20">
        <f t="shared" si="63"/>
        <v>204.13</v>
      </c>
      <c r="J67" s="8">
        <f t="shared" si="64"/>
        <v>10.2065</v>
      </c>
      <c r="K67" s="8">
        <f t="shared" si="65"/>
        <v>20.361967500000002</v>
      </c>
      <c r="L67" s="92">
        <f t="shared" si="66"/>
        <v>234.69846749999999</v>
      </c>
      <c r="M67" s="90"/>
      <c r="N67" s="168">
        <f t="shared" si="67"/>
        <v>234.69846749999999</v>
      </c>
      <c r="O67" s="166"/>
      <c r="P67" s="88"/>
    </row>
    <row r="68" spans="1:16" ht="17.25" customHeight="1" x14ac:dyDescent="0.2">
      <c r="A68" s="25"/>
      <c r="B68" s="52"/>
      <c r="C68" s="10"/>
      <c r="D68" s="56"/>
      <c r="E68" s="63"/>
      <c r="F68" s="11"/>
      <c r="G68" s="11"/>
      <c r="H68" s="158"/>
      <c r="I68" s="20"/>
      <c r="J68" s="8"/>
      <c r="K68" s="8"/>
      <c r="L68" s="92"/>
      <c r="M68" s="90"/>
      <c r="N68" s="168"/>
      <c r="O68" s="166"/>
      <c r="P68" s="88"/>
    </row>
    <row r="69" spans="1:16" ht="18.75" customHeight="1" thickBot="1" x14ac:dyDescent="0.25">
      <c r="A69" s="24"/>
      <c r="B69" s="24"/>
      <c r="C69" s="24"/>
      <c r="D69" s="81">
        <f>SUM(D4:D68)</f>
        <v>1173.5</v>
      </c>
      <c r="E69" s="66">
        <f t="shared" ref="E69:M69" si="68">SUM(E4:E68)</f>
        <v>10972.5</v>
      </c>
      <c r="F69" s="24">
        <f t="shared" si="68"/>
        <v>146687.5</v>
      </c>
      <c r="G69" s="24">
        <f t="shared" si="68"/>
        <v>595356.22999999963</v>
      </c>
      <c r="H69" s="159">
        <f t="shared" si="68"/>
        <v>20480.559999999998</v>
      </c>
      <c r="I69" s="24">
        <f t="shared" si="68"/>
        <v>762524.28999999969</v>
      </c>
      <c r="J69" s="24">
        <f t="shared" si="68"/>
        <v>38126.214500000024</v>
      </c>
      <c r="K69" s="24">
        <f t="shared" si="68"/>
        <v>76061.791787500028</v>
      </c>
      <c r="L69" s="91">
        <f t="shared" si="68"/>
        <v>876712.27628750028</v>
      </c>
      <c r="M69" s="91">
        <f t="shared" si="68"/>
        <v>874922.60993000027</v>
      </c>
      <c r="N69" s="91">
        <f>SUM(N4:N68)</f>
        <v>1789.6663574999998</v>
      </c>
      <c r="O69" s="91">
        <f>SUM(O5:O68)</f>
        <v>437500</v>
      </c>
    </row>
    <row r="70" spans="1:16" ht="18.75" customHeight="1" thickTop="1" x14ac:dyDescent="0.2">
      <c r="C70" s="10"/>
      <c r="D70" s="10"/>
      <c r="E70" s="63">
        <f>+E69+D69</f>
        <v>12146</v>
      </c>
      <c r="F70" s="11"/>
      <c r="G70" s="11"/>
      <c r="H70" s="29"/>
      <c r="I70" s="21"/>
      <c r="J70" s="11"/>
      <c r="K70" s="11"/>
      <c r="L70" s="11"/>
      <c r="M70" s="9"/>
    </row>
    <row r="71" spans="1:16" x14ac:dyDescent="0.2">
      <c r="C71" s="10"/>
      <c r="D71" s="10"/>
      <c r="E71" s="35"/>
      <c r="G71" s="28"/>
      <c r="I71" s="16"/>
    </row>
    <row r="72" spans="1:16" x14ac:dyDescent="0.2">
      <c r="C72" s="10"/>
      <c r="D72" s="10"/>
      <c r="E72" s="35"/>
      <c r="H72" s="9"/>
      <c r="I72" s="16"/>
      <c r="O72" s="9"/>
    </row>
    <row r="73" spans="1:16" x14ac:dyDescent="0.2">
      <c r="C73" s="10"/>
      <c r="D73" s="10"/>
      <c r="E73" s="35"/>
      <c r="I73" s="15"/>
    </row>
    <row r="74" spans="1:16" x14ac:dyDescent="0.2">
      <c r="C74" s="10"/>
      <c r="D74" s="10"/>
      <c r="E74" s="35"/>
      <c r="H74" s="5"/>
      <c r="I74" s="22"/>
    </row>
    <row r="75" spans="1:16" x14ac:dyDescent="0.2">
      <c r="C75" s="10"/>
      <c r="D75" s="10"/>
      <c r="E75" s="35"/>
      <c r="H75" s="9"/>
      <c r="I75" s="22"/>
    </row>
    <row r="76" spans="1:16" x14ac:dyDescent="0.2">
      <c r="B76" s="17"/>
      <c r="H76" s="4"/>
      <c r="I76" s="4"/>
      <c r="J76" s="1"/>
      <c r="K76" s="1"/>
      <c r="L76" s="1"/>
    </row>
    <row r="77" spans="1:16" x14ac:dyDescent="0.2">
      <c r="B77" s="55"/>
      <c r="H77" s="4"/>
      <c r="I77" s="4"/>
      <c r="J77" s="1"/>
      <c r="K77" s="1"/>
      <c r="L77" s="1"/>
    </row>
    <row r="78" spans="1:16" x14ac:dyDescent="0.2">
      <c r="B78" s="17"/>
      <c r="H78" s="4"/>
      <c r="I78" s="82"/>
      <c r="J78" s="1"/>
      <c r="K78" s="1"/>
      <c r="L78" s="1"/>
    </row>
    <row r="79" spans="1:16" x14ac:dyDescent="0.2">
      <c r="H79" s="4"/>
      <c r="I79" s="82"/>
      <c r="J79" s="1"/>
      <c r="K79" s="1"/>
      <c r="L79" s="1"/>
    </row>
    <row r="80" spans="1:16" x14ac:dyDescent="0.2">
      <c r="H80" s="4"/>
      <c r="I80" s="4"/>
      <c r="J80" s="1"/>
      <c r="K80" s="1"/>
      <c r="L80" s="1"/>
    </row>
    <row r="81" spans="2:12" x14ac:dyDescent="0.2">
      <c r="B81" s="55"/>
      <c r="H81" s="4"/>
      <c r="I81" s="4"/>
      <c r="J81" s="1"/>
      <c r="K81" s="1"/>
      <c r="L81" s="1"/>
    </row>
    <row r="82" spans="2:12" x14ac:dyDescent="0.2">
      <c r="B82" s="17"/>
      <c r="H82" s="4"/>
      <c r="I82" s="4"/>
      <c r="J82" s="1"/>
      <c r="K82" s="1"/>
      <c r="L82" s="1"/>
    </row>
    <row r="83" spans="2:12" x14ac:dyDescent="0.2">
      <c r="H83" s="4"/>
      <c r="I83" s="16"/>
    </row>
    <row r="84" spans="2:12" x14ac:dyDescent="0.2">
      <c r="I84" s="15"/>
    </row>
    <row r="85" spans="2:12" x14ac:dyDescent="0.2">
      <c r="I85" s="23"/>
    </row>
    <row r="87" spans="2:12" x14ac:dyDescent="0.2">
      <c r="H87" s="13"/>
    </row>
    <row r="89" spans="2:12" x14ac:dyDescent="0.2">
      <c r="I89" s="15"/>
    </row>
    <row r="90" spans="2:12" x14ac:dyDescent="0.2">
      <c r="I90" s="15"/>
    </row>
    <row r="93" spans="2:12" x14ac:dyDescent="0.2">
      <c r="H93" s="13"/>
      <c r="I93" s="23"/>
    </row>
  </sheetData>
  <pageMargins left="0" right="0" top="0.19685039370078741" bottom="0" header="0.39370078740157483" footer="0.15748031496062992"/>
  <pageSetup scale="67" orientation="landscape" cellComments="asDisplayed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883F-F29B-4E00-AFE2-8A429F763345}">
  <sheetPr>
    <pageSetUpPr fitToPage="1"/>
  </sheetPr>
  <dimension ref="A1:AM92"/>
  <sheetViews>
    <sheetView showGridLines="0" topLeftCell="A41" zoomScaleNormal="100" workbookViewId="0">
      <selection activeCell="D80" sqref="D80"/>
    </sheetView>
  </sheetViews>
  <sheetFormatPr baseColWidth="10" defaultColWidth="11.42578125" defaultRowHeight="12.75" x14ac:dyDescent="0.2"/>
  <cols>
    <col min="1" max="1" width="12.42578125" style="14" customWidth="1"/>
    <col min="2" max="2" width="27" style="51" customWidth="1"/>
    <col min="3" max="3" width="13.5703125" style="65" customWidth="1"/>
    <col min="4" max="4" width="13.5703125" style="3" customWidth="1"/>
    <col min="5" max="5" width="10.42578125" style="34" customWidth="1"/>
    <col min="6" max="6" width="14.140625" style="4" customWidth="1"/>
    <col min="7" max="7" width="16.28515625" style="4" customWidth="1"/>
    <col min="8" max="8" width="15.7109375" style="1" customWidth="1"/>
    <col min="9" max="9" width="12.140625" style="19" customWidth="1"/>
    <col min="10" max="12" width="12.140625" style="4" customWidth="1"/>
    <col min="13" max="13" width="12.85546875" style="1" customWidth="1"/>
    <col min="14" max="14" width="11.140625" style="1" customWidth="1"/>
    <col min="15" max="15" width="15.5703125" style="1" customWidth="1"/>
    <col min="16" max="16" width="13.7109375" style="1" customWidth="1"/>
    <col min="17" max="17" width="11.42578125" style="1" customWidth="1"/>
    <col min="18" max="16384" width="11.42578125" style="1"/>
  </cols>
  <sheetData>
    <row r="1" spans="1:39" ht="15.75" x14ac:dyDescent="0.25">
      <c r="A1" s="69" t="s">
        <v>507</v>
      </c>
    </row>
    <row r="2" spans="1:39" ht="16.5" thickBot="1" x14ac:dyDescent="0.3">
      <c r="A2" s="69"/>
      <c r="L2" s="5"/>
    </row>
    <row r="3" spans="1:39" s="36" customFormat="1" ht="26.25" customHeight="1" x14ac:dyDescent="0.2">
      <c r="A3" s="83" t="s">
        <v>0</v>
      </c>
      <c r="B3" s="84" t="s">
        <v>6</v>
      </c>
      <c r="C3" s="85" t="s">
        <v>1</v>
      </c>
      <c r="D3" s="84" t="s">
        <v>27</v>
      </c>
      <c r="E3" s="84" t="s">
        <v>28</v>
      </c>
      <c r="F3" s="84" t="s">
        <v>7</v>
      </c>
      <c r="G3" s="84" t="s">
        <v>8</v>
      </c>
      <c r="H3" s="89" t="s">
        <v>29</v>
      </c>
      <c r="I3" s="86" t="s">
        <v>2</v>
      </c>
      <c r="J3" s="84" t="s">
        <v>3</v>
      </c>
      <c r="K3" s="84" t="s">
        <v>4</v>
      </c>
      <c r="L3" s="160" t="s">
        <v>5</v>
      </c>
      <c r="M3" s="160" t="s">
        <v>9</v>
      </c>
      <c r="N3" s="161" t="s">
        <v>31</v>
      </c>
      <c r="O3" s="160" t="s">
        <v>11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</row>
    <row r="4" spans="1:39" ht="17.25" customHeight="1" x14ac:dyDescent="0.2">
      <c r="A4" s="25" t="s">
        <v>47</v>
      </c>
      <c r="B4" s="52" t="s">
        <v>43</v>
      </c>
      <c r="C4" s="10" t="s">
        <v>48</v>
      </c>
      <c r="D4" s="56">
        <v>237</v>
      </c>
      <c r="E4" s="63">
        <v>251</v>
      </c>
      <c r="F4" s="11">
        <f>7406.25+1612.5+12343.75+8531.25</f>
        <v>29893.75</v>
      </c>
      <c r="G4" s="11">
        <f>4598.95+6304.2+3703.92+654.08+132.54</f>
        <v>15393.69</v>
      </c>
      <c r="H4" s="158">
        <v>6075.25</v>
      </c>
      <c r="I4" s="20">
        <f t="shared" ref="I4:I8" si="0">SUM(F4:H4)</f>
        <v>51362.69</v>
      </c>
      <c r="J4" s="8">
        <f t="shared" ref="J4:J8" si="1">+I4*0.05</f>
        <v>2568.1345000000001</v>
      </c>
      <c r="K4" s="8">
        <f t="shared" ref="K4:K8" si="2">+I4*0.09975</f>
        <v>5123.4283275000007</v>
      </c>
      <c r="L4" s="92">
        <f t="shared" ref="L4:L8" si="3">SUM(I4:K4)</f>
        <v>59054.2528275</v>
      </c>
      <c r="M4" s="90">
        <v>59054.2528275</v>
      </c>
      <c r="N4" s="162">
        <f>+L4-M4</f>
        <v>0</v>
      </c>
      <c r="O4" s="90"/>
      <c r="P4" s="5"/>
    </row>
    <row r="5" spans="1:39" ht="17.25" customHeight="1" x14ac:dyDescent="0.2">
      <c r="A5" s="25" t="s">
        <v>47</v>
      </c>
      <c r="B5" s="52" t="s">
        <v>45</v>
      </c>
      <c r="C5" s="10" t="s">
        <v>49</v>
      </c>
      <c r="D5" s="56">
        <v>141.25</v>
      </c>
      <c r="E5" s="63">
        <v>239.75</v>
      </c>
      <c r="F5" s="11">
        <f>4468.75+1162.5+8656.25+3562.5</f>
        <v>17850</v>
      </c>
      <c r="G5" s="11">
        <f>32873.6-F5</f>
        <v>15023.599999999999</v>
      </c>
      <c r="H5" s="158"/>
      <c r="I5" s="20">
        <f t="shared" si="0"/>
        <v>32873.599999999999</v>
      </c>
      <c r="J5" s="8">
        <f t="shared" si="1"/>
        <v>1643.68</v>
      </c>
      <c r="K5" s="8">
        <f t="shared" si="2"/>
        <v>3279.1415999999999</v>
      </c>
      <c r="L5" s="92">
        <f t="shared" si="3"/>
        <v>37796.421600000001</v>
      </c>
      <c r="M5" s="90">
        <v>37796.421600000001</v>
      </c>
      <c r="N5" s="162">
        <f t="shared" ref="N5:N15" si="4">+L5-M5</f>
        <v>0</v>
      </c>
      <c r="O5" s="90"/>
      <c r="P5" s="5"/>
    </row>
    <row r="6" spans="1:39" ht="17.25" customHeight="1" x14ac:dyDescent="0.2">
      <c r="A6" s="25" t="s">
        <v>263</v>
      </c>
      <c r="B6" s="52" t="s">
        <v>55</v>
      </c>
      <c r="C6" s="10" t="s">
        <v>56</v>
      </c>
      <c r="D6" s="56">
        <v>299.5</v>
      </c>
      <c r="E6" s="63">
        <v>619.5</v>
      </c>
      <c r="F6" s="11">
        <v>37762.5</v>
      </c>
      <c r="G6" s="11">
        <f>72312.05-H6-F6</f>
        <v>34256.100000000006</v>
      </c>
      <c r="H6" s="158">
        <v>293.45</v>
      </c>
      <c r="I6" s="20">
        <f>SUM(F6:H6)</f>
        <v>72312.05</v>
      </c>
      <c r="J6" s="8">
        <f t="shared" si="1"/>
        <v>3615.6025000000004</v>
      </c>
      <c r="K6" s="8">
        <f t="shared" si="2"/>
        <v>7213.1269875000007</v>
      </c>
      <c r="L6" s="92">
        <f t="shared" si="3"/>
        <v>83140.779487499996</v>
      </c>
      <c r="M6" s="90">
        <v>83140.779487499996</v>
      </c>
      <c r="N6" s="162">
        <f t="shared" si="4"/>
        <v>0</v>
      </c>
      <c r="O6" s="90">
        <v>75000</v>
      </c>
      <c r="P6" s="5"/>
    </row>
    <row r="7" spans="1:39" ht="17.25" customHeight="1" x14ac:dyDescent="0.2">
      <c r="A7" s="25" t="s">
        <v>68</v>
      </c>
      <c r="B7" s="52" t="s">
        <v>67</v>
      </c>
      <c r="C7" s="10" t="s">
        <v>66</v>
      </c>
      <c r="D7" s="56">
        <v>304</v>
      </c>
      <c r="E7" s="63">
        <f>1015.75-D7</f>
        <v>711.75</v>
      </c>
      <c r="F7" s="11">
        <v>38250</v>
      </c>
      <c r="G7" s="11">
        <f>77024.44-F7</f>
        <v>38774.44</v>
      </c>
      <c r="H7" s="158"/>
      <c r="I7" s="20">
        <f t="shared" si="0"/>
        <v>77024.44</v>
      </c>
      <c r="J7" s="8">
        <f t="shared" si="1"/>
        <v>3851.2220000000002</v>
      </c>
      <c r="K7" s="8">
        <f t="shared" si="2"/>
        <v>7683.1878900000011</v>
      </c>
      <c r="L7" s="92">
        <f t="shared" si="3"/>
        <v>88558.849889999998</v>
      </c>
      <c r="M7" s="90">
        <v>88558.849889999998</v>
      </c>
      <c r="N7" s="162">
        <f t="shared" si="4"/>
        <v>0</v>
      </c>
      <c r="O7" s="90"/>
      <c r="P7" s="5"/>
    </row>
    <row r="8" spans="1:39" ht="17.25" customHeight="1" x14ac:dyDescent="0.2">
      <c r="A8" s="25">
        <v>44166</v>
      </c>
      <c r="B8" s="52" t="s">
        <v>78</v>
      </c>
      <c r="C8" s="10" t="s">
        <v>79</v>
      </c>
      <c r="D8" s="56">
        <v>283</v>
      </c>
      <c r="E8" s="63">
        <f>890.5-D8</f>
        <v>607.5</v>
      </c>
      <c r="F8" s="11">
        <v>35681.25</v>
      </c>
      <c r="G8" s="11">
        <f>70261.3-F8</f>
        <v>34580.050000000003</v>
      </c>
      <c r="H8" s="158"/>
      <c r="I8" s="20">
        <f t="shared" si="0"/>
        <v>70261.3</v>
      </c>
      <c r="J8" s="8">
        <f t="shared" si="1"/>
        <v>3513.0650000000005</v>
      </c>
      <c r="K8" s="8">
        <f t="shared" si="2"/>
        <v>7008.5646750000005</v>
      </c>
      <c r="L8" s="92">
        <f t="shared" si="3"/>
        <v>80782.929675000007</v>
      </c>
      <c r="M8" s="90">
        <v>80782.929675000007</v>
      </c>
      <c r="N8" s="162">
        <f t="shared" si="4"/>
        <v>0</v>
      </c>
      <c r="O8" s="90"/>
      <c r="P8" s="5"/>
    </row>
    <row r="9" spans="1:39" ht="17.25" customHeight="1" x14ac:dyDescent="0.2">
      <c r="A9" s="25">
        <v>43843</v>
      </c>
      <c r="B9" s="52" t="s">
        <v>85</v>
      </c>
      <c r="C9" s="10" t="s">
        <v>86</v>
      </c>
      <c r="D9" s="56">
        <v>227.75</v>
      </c>
      <c r="E9" s="63">
        <f>792.75-D9</f>
        <v>565</v>
      </c>
      <c r="F9" s="11">
        <v>28606.25</v>
      </c>
      <c r="G9" s="11">
        <f>60107.92-F9</f>
        <v>31501.67</v>
      </c>
      <c r="H9" s="158">
        <v>178.9</v>
      </c>
      <c r="I9" s="20">
        <f>SUM(F9:H9)</f>
        <v>60286.82</v>
      </c>
      <c r="J9" s="8">
        <f>+I9*0.05</f>
        <v>3014.3410000000003</v>
      </c>
      <c r="K9" s="8">
        <f>+I9*0.09975</f>
        <v>6013.6102950000004</v>
      </c>
      <c r="L9" s="92">
        <f>SUM(I9:K9)</f>
        <v>69314.771294999999</v>
      </c>
      <c r="M9" s="90">
        <v>69314.771294999999</v>
      </c>
      <c r="N9" s="162">
        <f t="shared" si="4"/>
        <v>0</v>
      </c>
      <c r="O9" s="90"/>
      <c r="P9" s="5"/>
    </row>
    <row r="10" spans="1:39" ht="17.25" customHeight="1" x14ac:dyDescent="0.2">
      <c r="A10" s="25">
        <v>43866</v>
      </c>
      <c r="B10" s="52" t="s">
        <v>95</v>
      </c>
      <c r="C10" s="10" t="s">
        <v>96</v>
      </c>
      <c r="D10" s="56">
        <v>254.25</v>
      </c>
      <c r="E10" s="63">
        <f>965.5-D10</f>
        <v>711.25</v>
      </c>
      <c r="F10" s="11">
        <f>7187.5+1575+12125+11156.25</f>
        <v>32043.75</v>
      </c>
      <c r="G10" s="11">
        <f>72235.05-F10</f>
        <v>40191.300000000003</v>
      </c>
      <c r="H10" s="158"/>
      <c r="I10" s="20">
        <f t="shared" ref="I10:I40" si="5">SUM(F10:H10)</f>
        <v>72235.05</v>
      </c>
      <c r="J10" s="8">
        <f t="shared" ref="J10:J40" si="6">+I10*0.05</f>
        <v>3611.7525000000005</v>
      </c>
      <c r="K10" s="8">
        <f t="shared" ref="K10:K36" si="7">+I10*0.09975</f>
        <v>7205.4462375000003</v>
      </c>
      <c r="L10" s="92">
        <f t="shared" ref="L10:L40" si="8">SUM(I10:K10)</f>
        <v>83052.248737500006</v>
      </c>
      <c r="M10" s="90">
        <v>83052.248737500006</v>
      </c>
      <c r="N10" s="162">
        <f t="shared" si="4"/>
        <v>0</v>
      </c>
      <c r="O10" s="90"/>
      <c r="P10" s="5"/>
    </row>
    <row r="11" spans="1:39" ht="17.25" customHeight="1" x14ac:dyDescent="0.2">
      <c r="A11" s="25">
        <v>44263</v>
      </c>
      <c r="B11" s="52" t="s">
        <v>104</v>
      </c>
      <c r="C11" s="10" t="s">
        <v>107</v>
      </c>
      <c r="D11" s="56">
        <v>243.75</v>
      </c>
      <c r="E11" s="63">
        <f>1279-D11</f>
        <v>1035.25</v>
      </c>
      <c r="F11" s="11">
        <f>4500+1950+14375+9968.75</f>
        <v>30793.75</v>
      </c>
      <c r="G11" s="11">
        <f>89493.04-F11-17.25</f>
        <v>58682.039999999994</v>
      </c>
      <c r="H11" s="158">
        <f>17.25+2100</f>
        <v>2117.25</v>
      </c>
      <c r="I11" s="20">
        <f t="shared" si="5"/>
        <v>91593.04</v>
      </c>
      <c r="J11" s="8">
        <f t="shared" si="6"/>
        <v>4579.652</v>
      </c>
      <c r="K11" s="8">
        <f t="shared" si="7"/>
        <v>9136.4057400000002</v>
      </c>
      <c r="L11" s="92">
        <f>SUM(I11:K11)+48.29</f>
        <v>105357.38773999999</v>
      </c>
      <c r="M11" s="90">
        <v>105357.38773999999</v>
      </c>
      <c r="N11" s="162">
        <f t="shared" si="4"/>
        <v>0</v>
      </c>
      <c r="O11" s="90">
        <v>325000</v>
      </c>
      <c r="P11" s="5"/>
    </row>
    <row r="12" spans="1:39" ht="17.25" customHeight="1" x14ac:dyDescent="0.2">
      <c r="A12" s="25">
        <v>44307</v>
      </c>
      <c r="B12" s="52" t="s">
        <v>110</v>
      </c>
      <c r="C12" s="10" t="s">
        <v>113</v>
      </c>
      <c r="D12" s="56">
        <v>176</v>
      </c>
      <c r="E12" s="63">
        <f>1308-D12</f>
        <v>1132</v>
      </c>
      <c r="F12" s="11">
        <f>500+2100+15625+4125</f>
        <v>22350</v>
      </c>
      <c r="G12" s="11">
        <f>84358.7-F12-20.75-247.5</f>
        <v>61740.45</v>
      </c>
      <c r="H12" s="158">
        <f>20.75+247.5</f>
        <v>268.25</v>
      </c>
      <c r="I12" s="20">
        <f t="shared" si="5"/>
        <v>84358.7</v>
      </c>
      <c r="J12" s="8">
        <f t="shared" si="6"/>
        <v>4217.9350000000004</v>
      </c>
      <c r="K12" s="8">
        <f t="shared" si="7"/>
        <v>8414.7803249999997</v>
      </c>
      <c r="L12" s="92">
        <f t="shared" si="8"/>
        <v>96991.415324999994</v>
      </c>
      <c r="M12" s="90">
        <v>96991.415324999994</v>
      </c>
      <c r="N12" s="162">
        <f t="shared" si="4"/>
        <v>0</v>
      </c>
      <c r="O12" s="90"/>
      <c r="P12" s="5"/>
    </row>
    <row r="13" spans="1:39" ht="17.25" customHeight="1" x14ac:dyDescent="0.2">
      <c r="A13" s="25">
        <v>44328</v>
      </c>
      <c r="B13" s="52" t="s">
        <v>115</v>
      </c>
      <c r="C13" s="10" t="s">
        <v>116</v>
      </c>
      <c r="D13" s="56">
        <v>136.5</v>
      </c>
      <c r="E13" s="63">
        <v>934.25</v>
      </c>
      <c r="F13" s="11">
        <f>1575+12000+3750</f>
        <v>17325</v>
      </c>
      <c r="G13" s="11">
        <f>67770.28-F13-73.93</f>
        <v>50371.35</v>
      </c>
      <c r="H13" s="158">
        <f>38.18+35.75</f>
        <v>73.930000000000007</v>
      </c>
      <c r="I13" s="20">
        <f t="shared" si="5"/>
        <v>67770.28</v>
      </c>
      <c r="J13" s="8">
        <f t="shared" si="6"/>
        <v>3388.5140000000001</v>
      </c>
      <c r="K13" s="8">
        <f t="shared" si="7"/>
        <v>6760.0854300000001</v>
      </c>
      <c r="L13" s="92">
        <f t="shared" si="8"/>
        <v>77918.879430000001</v>
      </c>
      <c r="M13" s="90">
        <v>77918.879430000001</v>
      </c>
      <c r="N13" s="162">
        <f t="shared" si="4"/>
        <v>0</v>
      </c>
      <c r="O13" s="90"/>
      <c r="P13" s="5"/>
    </row>
    <row r="14" spans="1:39" ht="17.25" customHeight="1" x14ac:dyDescent="0.2">
      <c r="A14" s="25">
        <v>44355</v>
      </c>
      <c r="B14" s="52" t="s">
        <v>119</v>
      </c>
      <c r="C14" s="10" t="s">
        <v>121</v>
      </c>
      <c r="D14" s="56">
        <v>94.5</v>
      </c>
      <c r="E14" s="63">
        <f>590.25-D14</f>
        <v>495.75</v>
      </c>
      <c r="F14" s="11">
        <f>1350+10500+187.5</f>
        <v>12037.5</v>
      </c>
      <c r="G14" s="11">
        <f>34833.7-F14-H14</f>
        <v>22791.899999999998</v>
      </c>
      <c r="H14" s="158">
        <v>4.3</v>
      </c>
      <c r="I14" s="20">
        <f t="shared" si="5"/>
        <v>34833.699999999997</v>
      </c>
      <c r="J14" s="8">
        <f t="shared" si="6"/>
        <v>1741.6849999999999</v>
      </c>
      <c r="K14" s="8">
        <f t="shared" si="7"/>
        <v>3474.6615750000001</v>
      </c>
      <c r="L14" s="92">
        <f t="shared" si="8"/>
        <v>40050.046574999993</v>
      </c>
      <c r="M14" s="90">
        <v>40050.046574999993</v>
      </c>
      <c r="N14" s="162">
        <f t="shared" si="4"/>
        <v>0</v>
      </c>
      <c r="O14" s="90"/>
      <c r="P14" s="5"/>
    </row>
    <row r="15" spans="1:39" ht="17.25" customHeight="1" x14ac:dyDescent="0.2">
      <c r="A15" s="25">
        <v>44391</v>
      </c>
      <c r="B15" s="52" t="s">
        <v>124</v>
      </c>
      <c r="C15" s="10" t="s">
        <v>126</v>
      </c>
      <c r="D15" s="56">
        <f>7.5+67.5+4.75</f>
        <v>79.75</v>
      </c>
      <c r="E15" s="63">
        <f>3+58+0.5+10.5+22+38.25+78+6.25+2.5+46+1.5</f>
        <v>266.5</v>
      </c>
      <c r="F15" s="11">
        <f>1125+8437.5+593.75</f>
        <v>10156.25</v>
      </c>
      <c r="G15" s="11">
        <f>304.95+4683.5+26.6+578.55+898.7+1453.5+2779.14+356.25+106.88+2316.1+69.83</f>
        <v>13574</v>
      </c>
      <c r="H15" s="158"/>
      <c r="I15" s="20">
        <f t="shared" si="5"/>
        <v>23730.25</v>
      </c>
      <c r="J15" s="8">
        <f t="shared" si="6"/>
        <v>1186.5125</v>
      </c>
      <c r="K15" s="8">
        <f t="shared" si="7"/>
        <v>2367.0924375</v>
      </c>
      <c r="L15" s="92">
        <f t="shared" si="8"/>
        <v>27283.8549375</v>
      </c>
      <c r="M15" s="90">
        <v>27283.8549375</v>
      </c>
      <c r="N15" s="162">
        <f t="shared" si="4"/>
        <v>0</v>
      </c>
      <c r="O15" s="90"/>
      <c r="P15" s="5"/>
    </row>
    <row r="16" spans="1:39" ht="17.25" customHeight="1" x14ac:dyDescent="0.2">
      <c r="A16" s="25">
        <v>44417</v>
      </c>
      <c r="B16" s="52" t="s">
        <v>129</v>
      </c>
      <c r="C16" s="10" t="s">
        <v>131</v>
      </c>
      <c r="D16" s="56">
        <f>5.5+46</f>
        <v>51.5</v>
      </c>
      <c r="E16" s="63">
        <f>43+1+5.25+28.5+2</f>
        <v>79.75</v>
      </c>
      <c r="F16" s="11">
        <f>825+5750</f>
        <v>6575</v>
      </c>
      <c r="G16" s="11">
        <f>3472.25+55.1+199.5+1434.98+93.1</f>
        <v>5254.93</v>
      </c>
      <c r="H16" s="158"/>
      <c r="I16" s="20">
        <f>SUM(F16:H16)</f>
        <v>11829.93</v>
      </c>
      <c r="J16" s="8">
        <f>+I16*0.05</f>
        <v>591.49650000000008</v>
      </c>
      <c r="K16" s="8">
        <f>+I16*0.09975</f>
        <v>1180.0355175000002</v>
      </c>
      <c r="L16" s="92">
        <f>SUM(I16:K16)+0.01</f>
        <v>13601.4720175</v>
      </c>
      <c r="M16" s="90">
        <v>13601.4720175</v>
      </c>
      <c r="N16" s="162">
        <f>+L16-M16</f>
        <v>0</v>
      </c>
      <c r="O16" s="90"/>
      <c r="P16" s="5"/>
    </row>
    <row r="17" spans="1:16" ht="17.25" customHeight="1" x14ac:dyDescent="0.2">
      <c r="A17" s="25">
        <v>44441</v>
      </c>
      <c r="B17" s="52" t="s">
        <v>133</v>
      </c>
      <c r="C17" s="10" t="s">
        <v>135</v>
      </c>
      <c r="D17" s="56">
        <f>6+54.25+5</f>
        <v>65.25</v>
      </c>
      <c r="E17" s="63">
        <f>11.5+13.75+2+49+16.5+4.25+4+25.75+1</f>
        <v>127.75</v>
      </c>
      <c r="F17" s="11">
        <f>900+6781.25+625</f>
        <v>8306.25</v>
      </c>
      <c r="G17" s="11">
        <f>928.63+757.63+70.3+2001.65+627+177.65+142.52+1296.51+46.55</f>
        <v>6048.4400000000005</v>
      </c>
      <c r="H17" s="158">
        <v>12.78</v>
      </c>
      <c r="I17" s="20">
        <f t="shared" si="5"/>
        <v>14367.470000000001</v>
      </c>
      <c r="J17" s="8">
        <f t="shared" si="6"/>
        <v>718.37350000000015</v>
      </c>
      <c r="K17" s="8">
        <f t="shared" si="7"/>
        <v>1433.1551325000003</v>
      </c>
      <c r="L17" s="92">
        <f t="shared" si="8"/>
        <v>16518.998632500003</v>
      </c>
      <c r="M17" s="90">
        <v>16518.998632500003</v>
      </c>
      <c r="N17" s="162">
        <f t="shared" ref="N17:N40" si="9">+L17-M17</f>
        <v>0</v>
      </c>
      <c r="O17" s="90">
        <v>375000</v>
      </c>
      <c r="P17" s="5"/>
    </row>
    <row r="18" spans="1:16" ht="17.25" customHeight="1" x14ac:dyDescent="0.2">
      <c r="A18" s="25">
        <v>44484</v>
      </c>
      <c r="B18" s="52" t="s">
        <v>139</v>
      </c>
      <c r="C18" s="10" t="s">
        <v>140</v>
      </c>
      <c r="D18" s="56">
        <f>2+20.25+27+11</f>
        <v>60.25</v>
      </c>
      <c r="E18" s="63">
        <f>8.75+3+0.7+8.25+0.5+33+1.25</f>
        <v>55.45</v>
      </c>
      <c r="F18" s="11">
        <f>300+2531.25+3375+1375</f>
        <v>7581.25</v>
      </c>
      <c r="G18" s="11">
        <f>706.56+165.3+30.64+313.5+21.38+1661.55+58.19</f>
        <v>2957.1200000000003</v>
      </c>
      <c r="H18" s="158">
        <f>70.52+276+20.75+8584.25</f>
        <v>8951.52</v>
      </c>
      <c r="I18" s="20">
        <f t="shared" si="5"/>
        <v>19489.89</v>
      </c>
      <c r="J18" s="8">
        <f t="shared" si="6"/>
        <v>974.49450000000002</v>
      </c>
      <c r="K18" s="8">
        <f t="shared" si="7"/>
        <v>1944.1165275000001</v>
      </c>
      <c r="L18" s="92">
        <f t="shared" si="8"/>
        <v>22408.501027499999</v>
      </c>
      <c r="M18" s="90">
        <v>22408.501027499999</v>
      </c>
      <c r="N18" s="162">
        <f t="shared" si="9"/>
        <v>0</v>
      </c>
      <c r="O18" s="169"/>
      <c r="P18" s="5"/>
    </row>
    <row r="19" spans="1:16" ht="17.25" customHeight="1" x14ac:dyDescent="0.2">
      <c r="A19" s="25">
        <v>44517</v>
      </c>
      <c r="B19" s="52" t="s">
        <v>144</v>
      </c>
      <c r="C19" s="10" t="s">
        <v>146</v>
      </c>
      <c r="D19" s="56">
        <f>2.5+21+32.5+18</f>
        <v>74</v>
      </c>
      <c r="E19" s="63">
        <f>3+3.75+6.75+12.5+5.75+53.75+56.75+13.5+0.5+24+1.5</f>
        <v>181.75</v>
      </c>
      <c r="F19" s="11">
        <f>375+2625+4062.5+2250</f>
        <v>9312.5</v>
      </c>
      <c r="G19" s="11">
        <f>17061.35-F19</f>
        <v>7748.8499999999985</v>
      </c>
      <c r="H19" s="158"/>
      <c r="I19" s="20">
        <f t="shared" si="5"/>
        <v>17061.349999999999</v>
      </c>
      <c r="J19" s="8">
        <f t="shared" si="6"/>
        <v>853.0675</v>
      </c>
      <c r="K19" s="8">
        <f t="shared" si="7"/>
        <v>1701.8696625</v>
      </c>
      <c r="L19" s="92">
        <f>SUM(I19:K19)</f>
        <v>19616.287162500001</v>
      </c>
      <c r="M19" s="90">
        <v>19616.287162500001</v>
      </c>
      <c r="N19" s="162">
        <f t="shared" si="9"/>
        <v>0</v>
      </c>
      <c r="O19" s="90"/>
      <c r="P19" s="5"/>
    </row>
    <row r="20" spans="1:16" ht="17.25" customHeight="1" x14ac:dyDescent="0.2">
      <c r="A20" s="25">
        <v>44536</v>
      </c>
      <c r="B20" s="52" t="s">
        <v>149</v>
      </c>
      <c r="C20" s="10" t="s">
        <v>151</v>
      </c>
      <c r="D20" s="56">
        <f>1+6.5+35.5+7</f>
        <v>50</v>
      </c>
      <c r="E20" s="63">
        <f>75+1.5+51.25+26+3+24.25+1.25</f>
        <v>182.25</v>
      </c>
      <c r="F20" s="11">
        <f>150+812.5+4437.5+875</f>
        <v>6275</v>
      </c>
      <c r="G20" s="11">
        <f>5415+82.65+1947.5+926.38+119.7+1220.99+58.19</f>
        <v>9770.41</v>
      </c>
      <c r="H20" s="158">
        <f>31.82+178.7+6.5</f>
        <v>217.01999999999998</v>
      </c>
      <c r="I20" s="20">
        <f>SUM(F20:H20)</f>
        <v>16262.43</v>
      </c>
      <c r="J20" s="8">
        <f t="shared" si="6"/>
        <v>813.12150000000008</v>
      </c>
      <c r="K20" s="8">
        <f t="shared" si="7"/>
        <v>1622.1773925000002</v>
      </c>
      <c r="L20" s="92">
        <f t="shared" si="8"/>
        <v>18697.728892500003</v>
      </c>
      <c r="M20" s="90">
        <v>18697.728892500003</v>
      </c>
      <c r="N20" s="162">
        <f t="shared" si="9"/>
        <v>0</v>
      </c>
      <c r="O20" s="90"/>
      <c r="P20" s="5"/>
    </row>
    <row r="21" spans="1:16" ht="17.25" customHeight="1" x14ac:dyDescent="0.2">
      <c r="A21" s="25">
        <v>44207</v>
      </c>
      <c r="B21" s="52" t="s">
        <v>198</v>
      </c>
      <c r="C21" s="10" t="s">
        <v>155</v>
      </c>
      <c r="D21" s="56">
        <f>2.5+21+11+32</f>
        <v>66.5</v>
      </c>
      <c r="E21" s="63">
        <f>3+49.5+63.25+1+39+1+4.5+18.75+1</f>
        <v>181</v>
      </c>
      <c r="F21" s="11">
        <f>375+2625+1375+4000</f>
        <v>8375</v>
      </c>
      <c r="G21" s="11">
        <f>304.95+3573.9+2403.5+41.8+1389.57+57+192.38+944.06+46.55</f>
        <v>8953.7099999999991</v>
      </c>
      <c r="H21" s="158">
        <f>75.68+104.27+364.55</f>
        <v>544.5</v>
      </c>
      <c r="I21" s="20">
        <f t="shared" si="5"/>
        <v>17873.21</v>
      </c>
      <c r="J21" s="8">
        <f t="shared" si="6"/>
        <v>893.66049999999996</v>
      </c>
      <c r="K21" s="8">
        <f t="shared" si="7"/>
        <v>1782.8526975</v>
      </c>
      <c r="L21" s="92">
        <f t="shared" si="8"/>
        <v>20549.723197499996</v>
      </c>
      <c r="M21" s="90">
        <v>20549.723197499996</v>
      </c>
      <c r="N21" s="162">
        <f t="shared" si="9"/>
        <v>0</v>
      </c>
      <c r="O21" s="90"/>
      <c r="P21" s="5"/>
    </row>
    <row r="22" spans="1:16" ht="17.25" customHeight="1" x14ac:dyDescent="0.2">
      <c r="A22" s="25">
        <v>44610</v>
      </c>
      <c r="B22" s="52" t="s">
        <v>204</v>
      </c>
      <c r="C22" s="10" t="s">
        <v>205</v>
      </c>
      <c r="D22" s="56">
        <f>3.5+32.5+34.5+7.75</f>
        <v>78.25</v>
      </c>
      <c r="E22" s="63">
        <f>26+66+23.25+86.25+4.75+124+4.25+19+41+1.25</f>
        <v>395.75</v>
      </c>
      <c r="F22" s="11">
        <f>525+4062.5+4312.5+968.75</f>
        <v>9868.75</v>
      </c>
      <c r="G22" s="11">
        <f>30707.15-F22</f>
        <v>20838.400000000001</v>
      </c>
      <c r="H22" s="158"/>
      <c r="I22" s="20">
        <f t="shared" si="5"/>
        <v>30707.15</v>
      </c>
      <c r="J22" s="8">
        <f t="shared" si="6"/>
        <v>1535.3575000000001</v>
      </c>
      <c r="K22" s="8">
        <f t="shared" si="7"/>
        <v>3063.0382125000001</v>
      </c>
      <c r="L22" s="92">
        <f t="shared" si="8"/>
        <v>35305.545712500003</v>
      </c>
      <c r="M22" s="90">
        <v>35305.545712500003</v>
      </c>
      <c r="N22" s="162">
        <f t="shared" si="9"/>
        <v>0</v>
      </c>
      <c r="O22" s="90"/>
      <c r="P22" s="5"/>
    </row>
    <row r="23" spans="1:16" ht="17.25" customHeight="1" x14ac:dyDescent="0.2">
      <c r="A23" s="25">
        <v>44643</v>
      </c>
      <c r="B23" s="52" t="s">
        <v>206</v>
      </c>
      <c r="C23" s="10" t="s">
        <v>207</v>
      </c>
      <c r="D23" s="56">
        <f>5.5+49+28.5+5.25</f>
        <v>88.25</v>
      </c>
      <c r="E23" s="63">
        <f>36+86.25+0.5+1.5+60.75+28+58.5+40.25+1.5</f>
        <v>313.25</v>
      </c>
      <c r="F23" s="11">
        <f>825+6125+3562.5+656.25</f>
        <v>11168.75</v>
      </c>
      <c r="G23" s="11">
        <f>30026.6-F23-H23</f>
        <v>18785.169999999998</v>
      </c>
      <c r="H23" s="158">
        <f>32.68+40</f>
        <v>72.680000000000007</v>
      </c>
      <c r="I23" s="20">
        <f t="shared" si="5"/>
        <v>30026.6</v>
      </c>
      <c r="J23" s="8">
        <f t="shared" si="6"/>
        <v>1501.33</v>
      </c>
      <c r="K23" s="8">
        <f t="shared" si="7"/>
        <v>2995.15335</v>
      </c>
      <c r="L23" s="92">
        <f t="shared" si="8"/>
        <v>34523.083350000001</v>
      </c>
      <c r="M23" s="90">
        <v>34523.083350000001</v>
      </c>
      <c r="N23" s="162">
        <f t="shared" si="9"/>
        <v>0</v>
      </c>
      <c r="O23" s="90"/>
      <c r="P23" s="5"/>
    </row>
    <row r="24" spans="1:16" ht="17.25" customHeight="1" x14ac:dyDescent="0.2">
      <c r="A24" s="25">
        <v>44671</v>
      </c>
      <c r="B24" s="52" t="s">
        <v>212</v>
      </c>
      <c r="C24" s="10" t="s">
        <v>216</v>
      </c>
      <c r="D24" s="56">
        <f>5.5+48.5+56.5+11.75</f>
        <v>122.25</v>
      </c>
      <c r="E24" s="63">
        <f>9+1+99.75+23.5+88.25+42.5+67+2.5+56.5+1.5</f>
        <v>391.5</v>
      </c>
      <c r="F24" s="11">
        <f>825+6062.5+7062.5+1468.75</f>
        <v>15418.75</v>
      </c>
      <c r="G24" s="11">
        <f>37652.98-F24-H24</f>
        <v>21282.250000000004</v>
      </c>
      <c r="H24" s="158">
        <f>83.42+683.1+58.17+127.29</f>
        <v>951.9799999999999</v>
      </c>
      <c r="I24" s="20">
        <f t="shared" si="5"/>
        <v>37652.980000000003</v>
      </c>
      <c r="J24" s="8">
        <f t="shared" si="6"/>
        <v>1882.6490000000003</v>
      </c>
      <c r="K24" s="8">
        <f t="shared" si="7"/>
        <v>3755.8847550000005</v>
      </c>
      <c r="L24" s="92">
        <f t="shared" si="8"/>
        <v>43291.513755</v>
      </c>
      <c r="M24" s="90">
        <v>43291.513755</v>
      </c>
      <c r="N24" s="162">
        <f t="shared" si="9"/>
        <v>0</v>
      </c>
      <c r="O24" s="90"/>
      <c r="P24" s="5"/>
    </row>
    <row r="25" spans="1:16" ht="17.25" customHeight="1" x14ac:dyDescent="0.2">
      <c r="A25" s="25">
        <v>44694</v>
      </c>
      <c r="B25" s="52" t="s">
        <v>219</v>
      </c>
      <c r="C25" s="10" t="s">
        <v>220</v>
      </c>
      <c r="D25" s="56">
        <f>1.5+14.5+29.75+2</f>
        <v>47.75</v>
      </c>
      <c r="E25" s="63">
        <f>2+121+5+45+8.5+9.5+27+1.5</f>
        <v>219.5</v>
      </c>
      <c r="F25" s="11">
        <f>225+1812.5+3718.75+250</f>
        <v>6006.25</v>
      </c>
      <c r="G25" s="11">
        <f>19792.48-F25-H25</f>
        <v>13686.47</v>
      </c>
      <c r="H25" s="158">
        <v>99.76</v>
      </c>
      <c r="I25" s="20">
        <f t="shared" si="5"/>
        <v>19792.48</v>
      </c>
      <c r="J25" s="8">
        <f t="shared" si="6"/>
        <v>989.62400000000002</v>
      </c>
      <c r="K25" s="8">
        <f t="shared" si="7"/>
        <v>1974.29988</v>
      </c>
      <c r="L25" s="92">
        <f t="shared" si="8"/>
        <v>22756.403879999998</v>
      </c>
      <c r="M25" s="90">
        <v>22756.403879999998</v>
      </c>
      <c r="N25" s="162">
        <f>+L25-M25</f>
        <v>0</v>
      </c>
      <c r="O25" s="90"/>
      <c r="P25" s="5"/>
    </row>
    <row r="26" spans="1:16" ht="17.25" customHeight="1" x14ac:dyDescent="0.2">
      <c r="A26" s="25">
        <v>44742</v>
      </c>
      <c r="B26" s="52" t="s">
        <v>222</v>
      </c>
      <c r="C26" s="10" t="s">
        <v>231</v>
      </c>
      <c r="D26" s="56">
        <f>4+33+39.5+1.5</f>
        <v>78</v>
      </c>
      <c r="E26" s="63">
        <f>4.5+114.75+36+7.25+7.5+15.75+54+8.75+31.2</f>
        <v>279.7</v>
      </c>
      <c r="F26" s="11">
        <f>600+4125+4937.5+187.5</f>
        <v>9850</v>
      </c>
      <c r="G26" s="11">
        <f>27686.24-F26-H26</f>
        <v>17671.240000000002</v>
      </c>
      <c r="H26" s="158">
        <v>165</v>
      </c>
      <c r="I26" s="20">
        <f t="shared" si="5"/>
        <v>27686.240000000002</v>
      </c>
      <c r="J26" s="8">
        <f t="shared" si="6"/>
        <v>1384.3120000000001</v>
      </c>
      <c r="K26" s="8">
        <f t="shared" si="7"/>
        <v>2761.7024400000005</v>
      </c>
      <c r="L26" s="92">
        <f t="shared" si="8"/>
        <v>31832.254440000004</v>
      </c>
      <c r="M26" s="90">
        <v>31832.254440000004</v>
      </c>
      <c r="N26" s="162">
        <f t="shared" si="9"/>
        <v>0</v>
      </c>
      <c r="O26" s="90"/>
      <c r="P26" s="5"/>
    </row>
    <row r="27" spans="1:16" ht="17.25" customHeight="1" x14ac:dyDescent="0.2">
      <c r="A27" s="25">
        <v>44749</v>
      </c>
      <c r="B27" s="52" t="s">
        <v>235</v>
      </c>
      <c r="C27" s="10" t="s">
        <v>236</v>
      </c>
      <c r="D27" s="56">
        <f>2+16.5+43.5</f>
        <v>62</v>
      </c>
      <c r="E27" s="63">
        <f>8.25+117.5+98+1.25+24.25+49.5+25+7.5+70.5+33.75+0.5+1</f>
        <v>437</v>
      </c>
      <c r="F27" s="11">
        <f>300+2062.5+5437.5</f>
        <v>7800</v>
      </c>
      <c r="G27" s="11">
        <f>33092.42-F27-H27</f>
        <v>23076.1</v>
      </c>
      <c r="H27" s="158">
        <f>229+746.45+40.87+1200</f>
        <v>2216.3200000000002</v>
      </c>
      <c r="I27" s="20">
        <f t="shared" si="5"/>
        <v>33092.42</v>
      </c>
      <c r="J27" s="8">
        <v>1594.62</v>
      </c>
      <c r="K27" s="8">
        <v>3181.27</v>
      </c>
      <c r="L27" s="92">
        <f t="shared" si="8"/>
        <v>37868.31</v>
      </c>
      <c r="M27" s="90">
        <v>37868.31</v>
      </c>
      <c r="N27" s="162">
        <f t="shared" si="9"/>
        <v>0</v>
      </c>
      <c r="O27" s="90"/>
      <c r="P27" s="5"/>
    </row>
    <row r="28" spans="1:16" ht="17.25" customHeight="1" x14ac:dyDescent="0.2">
      <c r="A28" s="25">
        <v>44796</v>
      </c>
      <c r="B28" s="52" t="s">
        <v>244</v>
      </c>
      <c r="C28" s="10" t="s">
        <v>246</v>
      </c>
      <c r="D28" s="56">
        <f>2+19+20.5+2.5</f>
        <v>44</v>
      </c>
      <c r="E28" s="63">
        <f>345-D28</f>
        <v>301</v>
      </c>
      <c r="F28" s="11">
        <f>300+2375+2562.5+312.5</f>
        <v>5550</v>
      </c>
      <c r="G28" s="11">
        <f>22623.64-F28-H28</f>
        <v>16860.14</v>
      </c>
      <c r="H28" s="158">
        <v>213.5</v>
      </c>
      <c r="I28" s="20">
        <f t="shared" si="5"/>
        <v>22623.64</v>
      </c>
      <c r="J28" s="8">
        <f t="shared" si="6"/>
        <v>1131.182</v>
      </c>
      <c r="K28" s="8">
        <f t="shared" si="7"/>
        <v>2256.7080900000001</v>
      </c>
      <c r="L28" s="92">
        <f t="shared" si="8"/>
        <v>26011.53009</v>
      </c>
      <c r="M28" s="90">
        <v>26011.53009</v>
      </c>
      <c r="N28" s="162">
        <f t="shared" si="9"/>
        <v>0</v>
      </c>
      <c r="O28" s="90"/>
      <c r="P28" s="5"/>
    </row>
    <row r="29" spans="1:16" ht="17.25" customHeight="1" x14ac:dyDescent="0.2">
      <c r="A29" s="25">
        <v>44818</v>
      </c>
      <c r="B29" s="52" t="s">
        <v>248</v>
      </c>
      <c r="C29" s="10" t="s">
        <v>249</v>
      </c>
      <c r="D29" s="56">
        <f>2+19+42+2.5</f>
        <v>65.5</v>
      </c>
      <c r="E29" s="63">
        <f>10.5+139+83+85.5+63.5+7.5+36.5+1</f>
        <v>426.5</v>
      </c>
      <c r="F29" s="11">
        <v>8237.5</v>
      </c>
      <c r="G29" s="11">
        <f>33255.96-H29-F29</f>
        <v>23749.059999999998</v>
      </c>
      <c r="H29" s="158">
        <f>309+952.4+8</f>
        <v>1269.4000000000001</v>
      </c>
      <c r="I29" s="20">
        <f t="shared" si="5"/>
        <v>33255.96</v>
      </c>
      <c r="J29" s="8">
        <f t="shared" si="6"/>
        <v>1662.798</v>
      </c>
      <c r="K29" s="8">
        <f t="shared" si="7"/>
        <v>3317.2820099999999</v>
      </c>
      <c r="L29" s="92">
        <f t="shared" si="8"/>
        <v>38236.040010000004</v>
      </c>
      <c r="M29" s="90">
        <v>38236.040010000004</v>
      </c>
      <c r="N29" s="162">
        <f t="shared" si="9"/>
        <v>0</v>
      </c>
      <c r="O29" s="90"/>
      <c r="P29" s="88"/>
    </row>
    <row r="30" spans="1:16" ht="17.25" customHeight="1" x14ac:dyDescent="0.2">
      <c r="A30" s="25">
        <v>44847</v>
      </c>
      <c r="B30" s="52" t="s">
        <v>261</v>
      </c>
      <c r="C30" s="10" t="s">
        <v>262</v>
      </c>
      <c r="D30" s="56">
        <f>2+17+59+1</f>
        <v>79</v>
      </c>
      <c r="E30" s="63">
        <v>406.5</v>
      </c>
      <c r="F30" s="11">
        <f>300+2125+7375+125</f>
        <v>9925</v>
      </c>
      <c r="G30" s="11">
        <f>33211.08-F30-H30</f>
        <v>22746.09</v>
      </c>
      <c r="H30" s="158">
        <f>405.5+50.5+65.04+18.95</f>
        <v>539.99</v>
      </c>
      <c r="I30" s="20">
        <f t="shared" si="5"/>
        <v>33211.08</v>
      </c>
      <c r="J30" s="8">
        <v>1657.3</v>
      </c>
      <c r="K30" s="8">
        <v>3306.32</v>
      </c>
      <c r="L30" s="92">
        <f t="shared" si="8"/>
        <v>38174.700000000004</v>
      </c>
      <c r="M30" s="90">
        <v>38174.700000000004</v>
      </c>
      <c r="N30" s="162">
        <f t="shared" si="9"/>
        <v>0</v>
      </c>
      <c r="O30" s="90"/>
      <c r="P30" s="88"/>
    </row>
    <row r="31" spans="1:16" ht="16.5" customHeight="1" x14ac:dyDescent="0.2">
      <c r="A31" s="25">
        <v>44886</v>
      </c>
      <c r="B31" s="52" t="s">
        <v>268</v>
      </c>
      <c r="C31" s="10" t="s">
        <v>269</v>
      </c>
      <c r="D31" s="56">
        <f>1+6+50.5+54.25</f>
        <v>111.75</v>
      </c>
      <c r="E31" s="63">
        <f>534-D31</f>
        <v>422.25</v>
      </c>
      <c r="F31" s="11">
        <f>150+750+6312.5+6781.25</f>
        <v>13993.75</v>
      </c>
      <c r="G31" s="11">
        <f>37300.46-401-F31</f>
        <v>22905.71</v>
      </c>
      <c r="H31" s="158">
        <v>401</v>
      </c>
      <c r="I31" s="20">
        <f>SUM(F31:H31)</f>
        <v>37300.46</v>
      </c>
      <c r="J31" s="8">
        <f t="shared" si="6"/>
        <v>1865.0230000000001</v>
      </c>
      <c r="K31" s="8">
        <f t="shared" si="7"/>
        <v>3720.7208850000002</v>
      </c>
      <c r="L31" s="92">
        <f t="shared" si="8"/>
        <v>42886.203885000003</v>
      </c>
      <c r="M31" s="90">
        <v>42886.203885000003</v>
      </c>
      <c r="N31" s="162">
        <f t="shared" si="9"/>
        <v>0</v>
      </c>
      <c r="O31" s="90"/>
      <c r="P31" s="88"/>
    </row>
    <row r="32" spans="1:16" ht="17.25" customHeight="1" x14ac:dyDescent="0.2">
      <c r="A32" s="25">
        <v>44915</v>
      </c>
      <c r="B32" s="52" t="s">
        <v>280</v>
      </c>
      <c r="C32" s="10" t="s">
        <v>281</v>
      </c>
      <c r="D32" s="56">
        <f>9.5+61+61.25</f>
        <v>131.75</v>
      </c>
      <c r="E32" s="63">
        <f>560.25-D32</f>
        <v>428.5</v>
      </c>
      <c r="F32" s="11">
        <f>150+1062.5+7625+7656.25</f>
        <v>16493.75</v>
      </c>
      <c r="G32" s="11">
        <f>40529.5-H32-F32</f>
        <v>23602.75</v>
      </c>
      <c r="H32" s="158">
        <v>433</v>
      </c>
      <c r="I32" s="20">
        <f t="shared" si="5"/>
        <v>40529.5</v>
      </c>
      <c r="J32" s="8">
        <f t="shared" si="6"/>
        <v>2026.4750000000001</v>
      </c>
      <c r="K32" s="8">
        <v>4042.82</v>
      </c>
      <c r="L32" s="92">
        <f t="shared" si="8"/>
        <v>46598.794999999998</v>
      </c>
      <c r="M32" s="90">
        <v>46598.794999999998</v>
      </c>
      <c r="N32" s="162">
        <f t="shared" si="9"/>
        <v>0</v>
      </c>
      <c r="O32" s="90"/>
      <c r="P32" s="88"/>
    </row>
    <row r="33" spans="1:16" ht="17.25" customHeight="1" x14ac:dyDescent="0.2">
      <c r="A33" s="25">
        <v>44926</v>
      </c>
      <c r="B33" s="52" t="s">
        <v>283</v>
      </c>
      <c r="C33" s="10" t="s">
        <v>284</v>
      </c>
      <c r="D33" s="56">
        <f>1+3.5+53.25+85</f>
        <v>142.75</v>
      </c>
      <c r="E33" s="63">
        <f>572.75-D33</f>
        <v>430</v>
      </c>
      <c r="F33" s="11">
        <f>150+437.5+6656.25+10625</f>
        <v>17868.75</v>
      </c>
      <c r="G33" s="11">
        <f>41650.79-H33-F33</f>
        <v>23507.040000000001</v>
      </c>
      <c r="H33" s="158">
        <v>275</v>
      </c>
      <c r="I33" s="20">
        <f t="shared" si="5"/>
        <v>41650.79</v>
      </c>
      <c r="J33" s="8">
        <f t="shared" si="6"/>
        <v>2082.5395000000003</v>
      </c>
      <c r="K33" s="8">
        <f t="shared" si="7"/>
        <v>4154.6663025000007</v>
      </c>
      <c r="L33" s="92">
        <f t="shared" si="8"/>
        <v>47887.995802500001</v>
      </c>
      <c r="M33" s="90">
        <v>47887.995802500001</v>
      </c>
      <c r="N33" s="162">
        <f t="shared" si="9"/>
        <v>0</v>
      </c>
      <c r="O33" s="90"/>
      <c r="P33" s="88"/>
    </row>
    <row r="34" spans="1:16" ht="17.25" customHeight="1" x14ac:dyDescent="0.2">
      <c r="A34" s="25">
        <v>44957</v>
      </c>
      <c r="B34" s="52" t="s">
        <v>295</v>
      </c>
      <c r="C34" s="10" t="s">
        <v>298</v>
      </c>
      <c r="D34" s="56">
        <f>0.5+45.75+56.25</f>
        <v>102.5</v>
      </c>
      <c r="E34" s="63">
        <f>453-D34</f>
        <v>350.5</v>
      </c>
      <c r="F34" s="11">
        <f>75+5718.75+7031.25</f>
        <v>12825</v>
      </c>
      <c r="G34" s="11">
        <f>34076.49-F34-H34</f>
        <v>20976.489999999998</v>
      </c>
      <c r="H34" s="158">
        <v>275</v>
      </c>
      <c r="I34" s="20">
        <f t="shared" si="5"/>
        <v>34076.49</v>
      </c>
      <c r="J34" s="8">
        <f t="shared" si="6"/>
        <v>1703.8244999999999</v>
      </c>
      <c r="K34" s="8">
        <f t="shared" si="7"/>
        <v>3399.1298775</v>
      </c>
      <c r="L34" s="92">
        <f t="shared" si="8"/>
        <v>39179.444377500004</v>
      </c>
      <c r="M34" s="90">
        <v>39179.444377500004</v>
      </c>
      <c r="N34" s="162">
        <f t="shared" si="9"/>
        <v>0</v>
      </c>
      <c r="O34" s="90"/>
      <c r="P34" s="88"/>
    </row>
    <row r="35" spans="1:16" ht="17.25" customHeight="1" x14ac:dyDescent="0.2">
      <c r="A35" s="25">
        <v>45019</v>
      </c>
      <c r="B35" s="52" t="s">
        <v>302</v>
      </c>
      <c r="C35" s="10" t="s">
        <v>306</v>
      </c>
      <c r="D35" s="56">
        <f>1+7+40.5+77.5</f>
        <v>126</v>
      </c>
      <c r="E35" s="63">
        <f>671.25-D35</f>
        <v>545.25</v>
      </c>
      <c r="F35" s="11">
        <f>150+875+5062.5+9687.5</f>
        <v>15775</v>
      </c>
      <c r="G35" s="11">
        <f>47949.92-F35-H35</f>
        <v>31779.42</v>
      </c>
      <c r="H35" s="158">
        <v>395.5</v>
      </c>
      <c r="I35" s="20">
        <f>SUM(F35:H35)</f>
        <v>47949.919999999998</v>
      </c>
      <c r="J35" s="8">
        <f t="shared" si="6"/>
        <v>2397.4960000000001</v>
      </c>
      <c r="K35" s="8">
        <f t="shared" si="7"/>
        <v>4783.0045200000004</v>
      </c>
      <c r="L35" s="92">
        <f t="shared" si="8"/>
        <v>55130.42052</v>
      </c>
      <c r="M35" s="90">
        <v>55130.42052</v>
      </c>
      <c r="N35" s="162">
        <f t="shared" si="9"/>
        <v>0</v>
      </c>
      <c r="O35" s="90"/>
      <c r="P35" s="88"/>
    </row>
    <row r="36" spans="1:16" ht="17.25" customHeight="1" x14ac:dyDescent="0.2">
      <c r="A36" s="25">
        <v>45034</v>
      </c>
      <c r="B36" s="52" t="s">
        <v>307</v>
      </c>
      <c r="C36" s="10" t="s">
        <v>309</v>
      </c>
      <c r="D36" s="56">
        <f>3.5+28+78+116.5</f>
        <v>226</v>
      </c>
      <c r="E36" s="63">
        <f>1094.25-D36</f>
        <v>868.25</v>
      </c>
      <c r="F36" s="11">
        <f>525+3500+9750+14562.5</f>
        <v>28337.5</v>
      </c>
      <c r="G36" s="11">
        <f>79288.96-H36-F36</f>
        <v>48812.44</v>
      </c>
      <c r="H36" s="158">
        <f>1693.5+17.97+427.55</f>
        <v>2139.02</v>
      </c>
      <c r="I36" s="20">
        <f t="shared" si="5"/>
        <v>79288.960000000006</v>
      </c>
      <c r="J36" s="8">
        <f t="shared" si="6"/>
        <v>3964.4480000000003</v>
      </c>
      <c r="K36" s="8">
        <f t="shared" si="7"/>
        <v>7909.0737600000011</v>
      </c>
      <c r="L36" s="92">
        <f t="shared" si="8"/>
        <v>91162.48176000001</v>
      </c>
      <c r="M36" s="90">
        <v>91162.48176000001</v>
      </c>
      <c r="N36" s="162">
        <f t="shared" si="9"/>
        <v>0</v>
      </c>
      <c r="O36" s="90"/>
      <c r="P36" s="88"/>
    </row>
    <row r="37" spans="1:16" ht="17.25" customHeight="1" x14ac:dyDescent="0.2">
      <c r="A37" s="25" t="s">
        <v>316</v>
      </c>
      <c r="B37" s="52" t="s">
        <v>313</v>
      </c>
      <c r="C37" s="10" t="s">
        <v>317</v>
      </c>
      <c r="D37" s="56">
        <f>3+25+56+105.5</f>
        <v>189.5</v>
      </c>
      <c r="E37" s="63">
        <f>753.25-D37</f>
        <v>563.75</v>
      </c>
      <c r="F37" s="11">
        <f>450+3125+7000+13187.5</f>
        <v>23762.5</v>
      </c>
      <c r="G37" s="11">
        <f>55945.39-F37-H37</f>
        <v>31759.47</v>
      </c>
      <c r="H37" s="158">
        <f>304+36+83.42</f>
        <v>423.42</v>
      </c>
      <c r="I37" s="20">
        <f t="shared" ref="I37:I39" si="10">SUM(F37:H37)</f>
        <v>55945.39</v>
      </c>
      <c r="J37" s="8">
        <f t="shared" ref="J37:J39" si="11">+I37*0.05</f>
        <v>2797.2695000000003</v>
      </c>
      <c r="K37" s="8">
        <f t="shared" ref="K37:K39" si="12">+I37*0.09975</f>
        <v>5580.5526525000005</v>
      </c>
      <c r="L37" s="92">
        <f t="shared" ref="L37:L39" si="13">SUM(I37:K37)</f>
        <v>64323.212152500004</v>
      </c>
      <c r="M37" s="90">
        <v>64323.212152500004</v>
      </c>
      <c r="N37" s="162">
        <f t="shared" ref="N37:N39" si="14">+L37-M37</f>
        <v>0</v>
      </c>
      <c r="O37" s="90"/>
      <c r="P37" s="88"/>
    </row>
    <row r="38" spans="1:16" ht="17.25" customHeight="1" x14ac:dyDescent="0.2">
      <c r="A38" s="25" t="s">
        <v>319</v>
      </c>
      <c r="B38" s="52" t="s">
        <v>320</v>
      </c>
      <c r="C38" s="10" t="s">
        <v>321</v>
      </c>
      <c r="D38" s="56">
        <f>4+32+46+114+2.75</f>
        <v>198.75</v>
      </c>
      <c r="E38" s="63">
        <f>982.5-D38</f>
        <v>783.75</v>
      </c>
      <c r="F38" s="11">
        <f>600+4000+5750+14250+343.75</f>
        <v>24943.75</v>
      </c>
      <c r="G38" s="11">
        <f>71157.58-F38-H38</f>
        <v>44593.97</v>
      </c>
      <c r="H38" s="158">
        <f>1264+355.86</f>
        <v>1619.8600000000001</v>
      </c>
      <c r="I38" s="20">
        <f t="shared" si="10"/>
        <v>71157.58</v>
      </c>
      <c r="J38" s="8">
        <f t="shared" si="11"/>
        <v>3557.8790000000004</v>
      </c>
      <c r="K38" s="8">
        <f t="shared" si="12"/>
        <v>7097.9686050000009</v>
      </c>
      <c r="L38" s="92">
        <f t="shared" si="13"/>
        <v>81813.427605000004</v>
      </c>
      <c r="M38" s="90">
        <v>81813.427605000004</v>
      </c>
      <c r="N38" s="162">
        <f t="shared" si="14"/>
        <v>0</v>
      </c>
      <c r="O38" s="90"/>
      <c r="P38" s="88"/>
    </row>
    <row r="39" spans="1:16" ht="17.25" customHeight="1" x14ac:dyDescent="0.2">
      <c r="A39" s="25" t="s">
        <v>326</v>
      </c>
      <c r="B39" s="52" t="s">
        <v>327</v>
      </c>
      <c r="C39" s="10" t="s">
        <v>328</v>
      </c>
      <c r="D39" s="56">
        <v>171</v>
      </c>
      <c r="E39" s="63">
        <f>736.75-D39</f>
        <v>565.75</v>
      </c>
      <c r="F39" s="11">
        <v>21437.5</v>
      </c>
      <c r="G39" s="11">
        <f>55257.56-F39-H39</f>
        <v>33114.639999999999</v>
      </c>
      <c r="H39" s="158">
        <v>705.42</v>
      </c>
      <c r="I39" s="20">
        <f t="shared" si="10"/>
        <v>55257.56</v>
      </c>
      <c r="J39" s="8">
        <f t="shared" si="11"/>
        <v>2762.8780000000002</v>
      </c>
      <c r="K39" s="8">
        <f t="shared" si="12"/>
        <v>5511.9416099999999</v>
      </c>
      <c r="L39" s="92">
        <f t="shared" si="13"/>
        <v>63532.379609999996</v>
      </c>
      <c r="M39" s="90">
        <v>63532.379609999996</v>
      </c>
      <c r="N39" s="162">
        <f t="shared" si="14"/>
        <v>0</v>
      </c>
      <c r="O39" s="90"/>
      <c r="P39" s="88"/>
    </row>
    <row r="40" spans="1:16" ht="17.25" customHeight="1" x14ac:dyDescent="0.2">
      <c r="A40" s="25" t="s">
        <v>337</v>
      </c>
      <c r="B40" s="52" t="s">
        <v>333</v>
      </c>
      <c r="C40" s="10" t="s">
        <v>336</v>
      </c>
      <c r="D40" s="56">
        <f>1.5+14+40+79.75</f>
        <v>135.25</v>
      </c>
      <c r="E40" s="63">
        <f>652.75-D40</f>
        <v>517.5</v>
      </c>
      <c r="F40" s="11">
        <f>225+1750+5000+9968.75</f>
        <v>16943.75</v>
      </c>
      <c r="G40" s="11">
        <f>47677.76-F40-H40</f>
        <v>30144.710000000003</v>
      </c>
      <c r="H40" s="158">
        <f>540.4+48.9</f>
        <v>589.29999999999995</v>
      </c>
      <c r="I40" s="20">
        <f t="shared" si="5"/>
        <v>47677.760000000009</v>
      </c>
      <c r="J40" s="8">
        <f t="shared" si="6"/>
        <v>2383.8880000000004</v>
      </c>
      <c r="K40" s="8">
        <f>+I40*0.09975+0.001</f>
        <v>4755.8575600000013</v>
      </c>
      <c r="L40" s="92">
        <f t="shared" si="8"/>
        <v>54817.505560000012</v>
      </c>
      <c r="M40" s="90">
        <v>54817.505560000012</v>
      </c>
      <c r="N40" s="162">
        <f t="shared" si="9"/>
        <v>0</v>
      </c>
      <c r="O40" s="90"/>
      <c r="P40" s="88"/>
    </row>
    <row r="41" spans="1:16" ht="17.25" customHeight="1" x14ac:dyDescent="0.2">
      <c r="A41" s="25" t="s">
        <v>343</v>
      </c>
      <c r="B41" s="52" t="s">
        <v>341</v>
      </c>
      <c r="C41" s="10" t="s">
        <v>342</v>
      </c>
      <c r="D41" s="56">
        <f>2.5+15+54.5+118.5+1.5</f>
        <v>192</v>
      </c>
      <c r="E41" s="63">
        <f>866.75-D41</f>
        <v>674.75</v>
      </c>
      <c r="F41" s="11">
        <f>375+1875+6812.5+14812.5+187.5</f>
        <v>24062.5</v>
      </c>
      <c r="G41" s="11">
        <f>64511.87-F41-H41</f>
        <v>39589.380000000005</v>
      </c>
      <c r="H41" s="158">
        <f>767.2+90.83+1.96</f>
        <v>859.99000000000012</v>
      </c>
      <c r="I41" s="20">
        <f t="shared" ref="I41" si="15">SUM(F41:H41)</f>
        <v>64511.87</v>
      </c>
      <c r="J41" s="8">
        <f t="shared" ref="J41" si="16">+I41*0.05</f>
        <v>3225.5935000000004</v>
      </c>
      <c r="K41" s="8">
        <f>+I41*0.09975+0.001</f>
        <v>6435.0600325000005</v>
      </c>
      <c r="L41" s="92">
        <f t="shared" ref="L41" si="17">SUM(I41:K41)</f>
        <v>74172.523532499996</v>
      </c>
      <c r="M41" s="90">
        <v>74172.523532499996</v>
      </c>
      <c r="N41" s="162">
        <f t="shared" ref="N41" si="18">+L41-M41</f>
        <v>0</v>
      </c>
      <c r="O41" s="90"/>
      <c r="P41" s="88"/>
    </row>
    <row r="42" spans="1:16" ht="17.25" customHeight="1" x14ac:dyDescent="0.2">
      <c r="A42" s="25" t="s">
        <v>361</v>
      </c>
      <c r="B42" s="52" t="s">
        <v>358</v>
      </c>
      <c r="C42" s="10" t="s">
        <v>362</v>
      </c>
      <c r="D42" s="56">
        <v>163.5</v>
      </c>
      <c r="E42" s="63">
        <f>793.5-D42</f>
        <v>630</v>
      </c>
      <c r="F42" s="11">
        <v>20462.5</v>
      </c>
      <c r="G42" s="11">
        <f>57944.31-F42-H42</f>
        <v>36795.409999999996</v>
      </c>
      <c r="H42" s="158">
        <v>686.4</v>
      </c>
      <c r="I42" s="20">
        <f t="shared" ref="I42" si="19">SUM(F42:H42)</f>
        <v>57944.31</v>
      </c>
      <c r="J42" s="8">
        <f t="shared" ref="J42" si="20">+I42*0.05</f>
        <v>2897.2155000000002</v>
      </c>
      <c r="K42" s="8">
        <f>+I42*0.09975</f>
        <v>5779.9449224999998</v>
      </c>
      <c r="L42" s="92">
        <f t="shared" ref="L42" si="21">SUM(I42:K42)</f>
        <v>66621.470422500002</v>
      </c>
      <c r="M42" s="90">
        <v>66621.470422500002</v>
      </c>
      <c r="N42" s="162">
        <f t="shared" ref="N42" si="22">+L42-M42</f>
        <v>0</v>
      </c>
      <c r="O42" s="90"/>
      <c r="P42" s="88"/>
    </row>
    <row r="43" spans="1:16" ht="17.25" customHeight="1" x14ac:dyDescent="0.2">
      <c r="A43" s="25" t="s">
        <v>368</v>
      </c>
      <c r="B43" s="52" t="s">
        <v>364</v>
      </c>
      <c r="C43" s="10" t="s">
        <v>369</v>
      </c>
      <c r="D43" s="56">
        <f>1+8.5+41.5+75.5</f>
        <v>126.5</v>
      </c>
      <c r="E43" s="63">
        <f>734-D43</f>
        <v>607.5</v>
      </c>
      <c r="F43" s="11">
        <f>150+1062.5+5187.5+9437.5</f>
        <v>15837.5</v>
      </c>
      <c r="G43" s="11">
        <f>51608.88-H43-F43</f>
        <v>34187.199999999997</v>
      </c>
      <c r="H43" s="158">
        <f>1235.33+321.22+27.63</f>
        <v>1584.18</v>
      </c>
      <c r="I43" s="20">
        <f t="shared" ref="I43" si="23">SUM(F43:H43)</f>
        <v>51608.88</v>
      </c>
      <c r="J43" s="8">
        <v>2579.06</v>
      </c>
      <c r="K43" s="8">
        <v>5145.2299999999996</v>
      </c>
      <c r="L43" s="92">
        <f t="shared" ref="L43" si="24">SUM(I43:K43)</f>
        <v>59333.17</v>
      </c>
      <c r="M43" s="90">
        <v>59333.17</v>
      </c>
      <c r="N43" s="162">
        <f t="shared" ref="N43:N45" si="25">+L43-M43</f>
        <v>0</v>
      </c>
      <c r="O43" s="90"/>
      <c r="P43" s="88"/>
    </row>
    <row r="44" spans="1:16" ht="17.25" customHeight="1" x14ac:dyDescent="0.2">
      <c r="A44" s="25" t="s">
        <v>373</v>
      </c>
      <c r="B44" s="52" t="s">
        <v>371</v>
      </c>
      <c r="C44" s="10" t="s">
        <v>374</v>
      </c>
      <c r="D44" s="56">
        <f>1.5+10.5+68+132.5+0.5</f>
        <v>213</v>
      </c>
      <c r="E44" s="63">
        <f>898-D44</f>
        <v>685</v>
      </c>
      <c r="F44" s="11">
        <f>225+1312.5+8500+16562.5+62.5</f>
        <v>26662.5</v>
      </c>
      <c r="G44" s="11">
        <f>68578.05-H44-F44</f>
        <v>40468.070000000007</v>
      </c>
      <c r="H44" s="158">
        <f>1226.84+197.29+23.35</f>
        <v>1447.4799999999998</v>
      </c>
      <c r="I44" s="20">
        <f t="shared" ref="I44" si="26">SUM(F44:H44)</f>
        <v>68578.05</v>
      </c>
      <c r="J44" s="8">
        <v>3427.74</v>
      </c>
      <c r="K44" s="8">
        <v>6838.33</v>
      </c>
      <c r="L44" s="92">
        <f t="shared" ref="L44" si="27">SUM(I44:K44)</f>
        <v>78844.12000000001</v>
      </c>
      <c r="M44" s="90">
        <v>78844.12000000001</v>
      </c>
      <c r="N44" s="162">
        <f t="shared" si="25"/>
        <v>0</v>
      </c>
      <c r="O44" s="90"/>
      <c r="P44" s="88"/>
    </row>
    <row r="45" spans="1:16" ht="17.25" customHeight="1" x14ac:dyDescent="0.2">
      <c r="A45" s="25" t="s">
        <v>377</v>
      </c>
      <c r="B45" s="52" t="s">
        <v>381</v>
      </c>
      <c r="C45" s="10" t="s">
        <v>382</v>
      </c>
      <c r="D45" s="56">
        <f>2+15.5+33+51+0.75</f>
        <v>102.25</v>
      </c>
      <c r="E45" s="63">
        <f>491.25-D45</f>
        <v>389</v>
      </c>
      <c r="F45" s="11">
        <f>300+1937.5+4125+6375+93.75</f>
        <v>12831.25</v>
      </c>
      <c r="G45" s="11">
        <f>36268.87-F45-H45</f>
        <v>22892.160000000003</v>
      </c>
      <c r="H45" s="158">
        <f>528.83+14.19+2.44</f>
        <v>545.46000000000015</v>
      </c>
      <c r="I45" s="20">
        <f t="shared" ref="I45" si="28">SUM(F45:H45)</f>
        <v>36268.870000000003</v>
      </c>
      <c r="J45" s="8">
        <v>1813.32</v>
      </c>
      <c r="K45" s="8">
        <v>3617.58</v>
      </c>
      <c r="L45" s="92">
        <f t="shared" ref="L45" si="29">SUM(I45:K45)</f>
        <v>41699.770000000004</v>
      </c>
      <c r="M45" s="90">
        <v>41699.770000000004</v>
      </c>
      <c r="N45" s="162">
        <f t="shared" si="25"/>
        <v>0</v>
      </c>
      <c r="O45" s="90"/>
      <c r="P45" s="88"/>
    </row>
    <row r="46" spans="1:16" ht="17.25" customHeight="1" x14ac:dyDescent="0.2">
      <c r="A46" s="25">
        <v>45322</v>
      </c>
      <c r="B46" s="52" t="s">
        <v>385</v>
      </c>
      <c r="C46" s="10" t="s">
        <v>393</v>
      </c>
      <c r="D46" s="56">
        <v>127</v>
      </c>
      <c r="E46" s="63">
        <f>554.75-D46</f>
        <v>427.75</v>
      </c>
      <c r="F46" s="11">
        <f>125.5*125+225</f>
        <v>15912.5</v>
      </c>
      <c r="G46" s="11">
        <f>44527.19-F46-H46</f>
        <v>27012.550000000003</v>
      </c>
      <c r="H46" s="158">
        <v>1602.14</v>
      </c>
      <c r="I46" s="20">
        <f t="shared" ref="I46:I48" si="30">SUM(F46:H46)</f>
        <v>44527.19</v>
      </c>
      <c r="J46" s="8">
        <v>2222.84</v>
      </c>
      <c r="K46" s="8">
        <v>4434.57</v>
      </c>
      <c r="L46" s="92">
        <f t="shared" ref="L46:L48" si="31">SUM(I46:K46)</f>
        <v>51184.6</v>
      </c>
      <c r="M46" s="90">
        <v>51184.6</v>
      </c>
      <c r="N46" s="162">
        <f t="shared" ref="N46:N48" si="32">+L46-M46</f>
        <v>0</v>
      </c>
      <c r="O46" s="90"/>
      <c r="P46" s="88"/>
    </row>
    <row r="47" spans="1:16" ht="17.25" customHeight="1" x14ac:dyDescent="0.2">
      <c r="A47" s="25">
        <v>45351</v>
      </c>
      <c r="B47" s="52" t="s">
        <v>386</v>
      </c>
      <c r="C47" s="10" t="s">
        <v>394</v>
      </c>
      <c r="D47" s="56">
        <f>46.5+108.75</f>
        <v>155.25</v>
      </c>
      <c r="E47" s="63">
        <f>611.25-D47</f>
        <v>456</v>
      </c>
      <c r="F47" s="11">
        <v>19418.75</v>
      </c>
      <c r="G47" s="11">
        <f>48282.41-H47-F47</f>
        <v>28120.880000000005</v>
      </c>
      <c r="H47" s="158">
        <v>742.78</v>
      </c>
      <c r="I47" s="20">
        <f t="shared" si="30"/>
        <v>48282.41</v>
      </c>
      <c r="J47" s="8">
        <v>2413.02</v>
      </c>
      <c r="K47" s="8">
        <v>4813.9799999999996</v>
      </c>
      <c r="L47" s="92">
        <f t="shared" si="31"/>
        <v>55509.41</v>
      </c>
      <c r="M47" s="90">
        <v>55509.41</v>
      </c>
      <c r="N47" s="162">
        <f t="shared" si="32"/>
        <v>0</v>
      </c>
      <c r="O47" s="90"/>
      <c r="P47" s="88"/>
    </row>
    <row r="48" spans="1:16" ht="17.25" customHeight="1" x14ac:dyDescent="0.2">
      <c r="A48" s="25">
        <v>45382</v>
      </c>
      <c r="B48" s="52" t="s">
        <v>387</v>
      </c>
      <c r="C48" s="10" t="s">
        <v>395</v>
      </c>
      <c r="D48" s="56">
        <v>112.5</v>
      </c>
      <c r="E48" s="63">
        <f>454.25-D48</f>
        <v>341.75</v>
      </c>
      <c r="F48" s="11">
        <v>14087.5</v>
      </c>
      <c r="G48" s="11">
        <f>35439.43-F48-H48</f>
        <v>20716.740000000002</v>
      </c>
      <c r="H48" s="158">
        <v>635.19000000000005</v>
      </c>
      <c r="I48" s="20">
        <f t="shared" si="30"/>
        <v>35439.430000000008</v>
      </c>
      <c r="J48" s="8">
        <v>1771.74</v>
      </c>
      <c r="K48" s="8">
        <v>3534.61</v>
      </c>
      <c r="L48" s="92">
        <f t="shared" si="31"/>
        <v>40745.780000000006</v>
      </c>
      <c r="M48" s="90">
        <v>40745.780000000006</v>
      </c>
      <c r="N48" s="162">
        <f t="shared" si="32"/>
        <v>0</v>
      </c>
      <c r="O48" s="90"/>
      <c r="P48" s="88"/>
    </row>
    <row r="49" spans="1:16" ht="17.25" customHeight="1" x14ac:dyDescent="0.2">
      <c r="A49" s="25">
        <v>45412</v>
      </c>
      <c r="B49" s="52" t="s">
        <v>400</v>
      </c>
      <c r="C49" s="10" t="s">
        <v>411</v>
      </c>
      <c r="D49" s="56">
        <v>144.75</v>
      </c>
      <c r="E49" s="63">
        <f>404.5-D49</f>
        <v>259.75</v>
      </c>
      <c r="F49" s="11">
        <f>75+125+6562.5+11343.75</f>
        <v>18106.25</v>
      </c>
      <c r="G49" s="11">
        <f>35813.43-F49-H49</f>
        <v>17224.22</v>
      </c>
      <c r="H49" s="158">
        <f>463.22+19.74</f>
        <v>482.96000000000004</v>
      </c>
      <c r="I49" s="20">
        <f t="shared" ref="I49:I51" si="33">SUM(F49:H49)</f>
        <v>35813.43</v>
      </c>
      <c r="J49" s="8">
        <v>1790.67</v>
      </c>
      <c r="K49" s="8">
        <v>3572.39</v>
      </c>
      <c r="L49" s="92">
        <f t="shared" ref="L49:L51" si="34">SUM(I49:K49)</f>
        <v>41176.49</v>
      </c>
      <c r="M49" s="90">
        <v>41176.49</v>
      </c>
      <c r="N49" s="162">
        <f t="shared" ref="N49:N51" si="35">+L49-M49</f>
        <v>0</v>
      </c>
      <c r="O49" s="90"/>
      <c r="P49" s="88"/>
    </row>
    <row r="50" spans="1:16" ht="17.25" customHeight="1" x14ac:dyDescent="0.2">
      <c r="A50" s="25">
        <v>45443</v>
      </c>
      <c r="B50" s="52" t="s">
        <v>401</v>
      </c>
      <c r="C50" s="10" t="s">
        <v>412</v>
      </c>
      <c r="D50" s="56">
        <v>129</v>
      </c>
      <c r="E50" s="63">
        <f>490.5-D50</f>
        <v>361.5</v>
      </c>
      <c r="F50" s="11">
        <f>75+187.5+7437.5+8437.5</f>
        <v>16137.5</v>
      </c>
      <c r="G50" s="11">
        <f>38607.88-F50-H50</f>
        <v>21649.809999999998</v>
      </c>
      <c r="H50" s="158">
        <v>820.57</v>
      </c>
      <c r="I50" s="20">
        <f t="shared" si="33"/>
        <v>38607.879999999997</v>
      </c>
      <c r="J50" s="8">
        <v>1926.88</v>
      </c>
      <c r="K50" s="8">
        <v>3844.12</v>
      </c>
      <c r="L50" s="92">
        <f t="shared" si="34"/>
        <v>44378.879999999997</v>
      </c>
      <c r="M50" s="90">
        <v>44378.879999999997</v>
      </c>
      <c r="N50" s="162">
        <f t="shared" si="35"/>
        <v>0</v>
      </c>
      <c r="O50" s="90"/>
      <c r="P50" s="88"/>
    </row>
    <row r="51" spans="1:16" ht="17.25" customHeight="1" x14ac:dyDescent="0.2">
      <c r="A51" s="25">
        <v>45473</v>
      </c>
      <c r="B51" s="52" t="s">
        <v>402</v>
      </c>
      <c r="C51" s="10" t="s">
        <v>413</v>
      </c>
      <c r="D51" s="56">
        <v>107.5</v>
      </c>
      <c r="E51" s="63">
        <f>404-D51</f>
        <v>296.5</v>
      </c>
      <c r="F51" s="11">
        <v>13450</v>
      </c>
      <c r="G51" s="11">
        <f>32452.36-F51-H51</f>
        <v>18035.29</v>
      </c>
      <c r="H51" s="158">
        <v>967.07</v>
      </c>
      <c r="I51" s="20">
        <f t="shared" si="33"/>
        <v>32452.36</v>
      </c>
      <c r="J51" s="8">
        <v>1621.62</v>
      </c>
      <c r="K51" s="8">
        <v>3235.14</v>
      </c>
      <c r="L51" s="92">
        <f t="shared" si="34"/>
        <v>37309.120000000003</v>
      </c>
      <c r="M51" s="90">
        <v>37309.120000000003</v>
      </c>
      <c r="N51" s="162">
        <f t="shared" si="35"/>
        <v>0</v>
      </c>
      <c r="O51" s="90"/>
      <c r="P51" s="88"/>
    </row>
    <row r="52" spans="1:16" ht="17.25" customHeight="1" x14ac:dyDescent="0.2">
      <c r="A52" s="25">
        <v>45504</v>
      </c>
      <c r="B52" s="52" t="s">
        <v>419</v>
      </c>
      <c r="C52" s="10" t="s">
        <v>430</v>
      </c>
      <c r="D52" s="56">
        <v>122.5</v>
      </c>
      <c r="E52" s="63">
        <f>511.5-D52</f>
        <v>389</v>
      </c>
      <c r="F52" s="11">
        <v>15325</v>
      </c>
      <c r="G52" s="11">
        <f>41045.09-H52-F52</f>
        <v>23860.929999999993</v>
      </c>
      <c r="H52" s="158">
        <f>1319.66+488.84+50.66</f>
        <v>1859.16</v>
      </c>
      <c r="I52" s="20">
        <f t="shared" ref="I52" si="36">SUM(F52:H52)</f>
        <v>41045.089999999997</v>
      </c>
      <c r="J52" s="8">
        <v>2049.7199999999998</v>
      </c>
      <c r="K52" s="8">
        <v>4089.19</v>
      </c>
      <c r="L52" s="92">
        <f t="shared" ref="L52" si="37">SUM(I52:K52)</f>
        <v>47184</v>
      </c>
      <c r="M52" s="90">
        <v>47184</v>
      </c>
      <c r="N52" s="162">
        <f t="shared" ref="N52" si="38">+L52-M52</f>
        <v>0</v>
      </c>
      <c r="O52" s="90"/>
      <c r="P52" s="88"/>
    </row>
    <row r="53" spans="1:16" ht="17.25" customHeight="1" x14ac:dyDescent="0.2">
      <c r="A53" s="25">
        <v>45535</v>
      </c>
      <c r="B53" s="52" t="s">
        <v>420</v>
      </c>
      <c r="C53" s="10" t="s">
        <v>431</v>
      </c>
      <c r="D53" s="56">
        <f>0.5+3.5+41.5+36.75</f>
        <v>82.25</v>
      </c>
      <c r="E53" s="63">
        <f>219.5-D53</f>
        <v>137.25</v>
      </c>
      <c r="F53" s="11">
        <f>75+437.5+5187.5+4593.75</f>
        <v>10293.75</v>
      </c>
      <c r="G53" s="11">
        <f>19422.87-H53-F53</f>
        <v>9006.489999999998</v>
      </c>
      <c r="H53" s="158">
        <v>122.63</v>
      </c>
      <c r="I53" s="20">
        <f t="shared" ref="I53:I54" si="39">SUM(F53:H53)</f>
        <v>19422.87</v>
      </c>
      <c r="J53" s="8">
        <v>971.14</v>
      </c>
      <c r="K53" s="8">
        <v>1937.43</v>
      </c>
      <c r="L53" s="92">
        <f t="shared" ref="L53:L54" si="40">SUM(I53:K53)</f>
        <v>22331.439999999999</v>
      </c>
      <c r="M53" s="90">
        <v>22331.439999999999</v>
      </c>
      <c r="N53" s="162">
        <f t="shared" ref="N53:N57" si="41">+L53-M53</f>
        <v>0</v>
      </c>
      <c r="O53" s="90"/>
      <c r="P53" s="88"/>
    </row>
    <row r="54" spans="1:16" ht="17.25" customHeight="1" x14ac:dyDescent="0.2">
      <c r="A54" s="25">
        <v>45565</v>
      </c>
      <c r="B54" s="52" t="s">
        <v>421</v>
      </c>
      <c r="C54" s="10" t="s">
        <v>432</v>
      </c>
      <c r="D54" s="56">
        <f>1+17.5+29.25</f>
        <v>47.75</v>
      </c>
      <c r="E54" s="63">
        <f>223.75-D54</f>
        <v>176</v>
      </c>
      <c r="F54" s="11">
        <f>150+2187.5+3656.25</f>
        <v>5993.75</v>
      </c>
      <c r="G54" s="11">
        <f>19461.53-H54-F54</f>
        <v>12980.809999999998</v>
      </c>
      <c r="H54" s="158">
        <f>410.93+71.13+4.91</f>
        <v>486.97</v>
      </c>
      <c r="I54" s="20">
        <f t="shared" si="39"/>
        <v>19461.53</v>
      </c>
      <c r="J54" s="8">
        <v>972.83</v>
      </c>
      <c r="K54" s="8">
        <v>1940.8</v>
      </c>
      <c r="L54" s="92">
        <f t="shared" si="40"/>
        <v>22375.16</v>
      </c>
      <c r="M54" s="90">
        <v>22375.16</v>
      </c>
      <c r="N54" s="162">
        <f t="shared" si="41"/>
        <v>0</v>
      </c>
      <c r="O54" s="90">
        <v>100000</v>
      </c>
      <c r="P54" s="88"/>
    </row>
    <row r="55" spans="1:16" ht="17.25" customHeight="1" x14ac:dyDescent="0.2">
      <c r="A55" s="25">
        <v>45596</v>
      </c>
      <c r="B55" s="52" t="s">
        <v>448</v>
      </c>
      <c r="C55" s="10" t="s">
        <v>455</v>
      </c>
      <c r="D55" s="56">
        <v>53.25</v>
      </c>
      <c r="E55" s="63">
        <f>255-D55</f>
        <v>201.75</v>
      </c>
      <c r="F55" s="11">
        <f>52.75*125+0.5*150</f>
        <v>6668.75</v>
      </c>
      <c r="G55" s="11">
        <f>21753.4-F55-H55</f>
        <v>14009.190000000002</v>
      </c>
      <c r="H55" s="158">
        <f>856.2+177.91+41.35</f>
        <v>1075.46</v>
      </c>
      <c r="I55" s="20">
        <f t="shared" ref="I55:I57" si="42">SUM(F55:H55)</f>
        <v>21753.4</v>
      </c>
      <c r="J55" s="8">
        <v>1085.5999999999999</v>
      </c>
      <c r="K55" s="8">
        <v>2165.7800000000002</v>
      </c>
      <c r="L55" s="92">
        <f t="shared" ref="L55:L57" si="43">SUM(I55:K55)</f>
        <v>25004.78</v>
      </c>
      <c r="M55" s="90">
        <v>25004.78</v>
      </c>
      <c r="N55" s="162">
        <f t="shared" si="41"/>
        <v>0</v>
      </c>
      <c r="O55" s="90"/>
      <c r="P55" s="88"/>
    </row>
    <row r="56" spans="1:16" ht="17.25" customHeight="1" x14ac:dyDescent="0.2">
      <c r="A56" s="25">
        <v>45626</v>
      </c>
      <c r="B56" s="52" t="s">
        <v>445</v>
      </c>
      <c r="C56" s="10" t="s">
        <v>454</v>
      </c>
      <c r="D56" s="56">
        <v>33.75</v>
      </c>
      <c r="E56" s="63">
        <f>118.75-D56</f>
        <v>85</v>
      </c>
      <c r="F56" s="11">
        <f>32.75*125+1*150</f>
        <v>4243.75</v>
      </c>
      <c r="G56" s="11">
        <f>9990.31-F56</f>
        <v>5746.5599999999995</v>
      </c>
      <c r="H56" s="158">
        <v>0</v>
      </c>
      <c r="I56" s="20">
        <f t="shared" si="42"/>
        <v>9990.31</v>
      </c>
      <c r="J56" s="8">
        <f t="shared" ref="J56" si="44">+I56*0.05</f>
        <v>499.51549999999997</v>
      </c>
      <c r="K56" s="8">
        <f t="shared" ref="K56" si="45">+I56*0.09975</f>
        <v>996.53342250000003</v>
      </c>
      <c r="L56" s="92">
        <f t="shared" si="43"/>
        <v>11486.3589225</v>
      </c>
      <c r="M56" s="90">
        <v>11486.3589225</v>
      </c>
      <c r="N56" s="162">
        <f t="shared" si="41"/>
        <v>0</v>
      </c>
      <c r="O56" s="90"/>
      <c r="P56" s="88"/>
    </row>
    <row r="57" spans="1:16" ht="17.25" customHeight="1" x14ac:dyDescent="0.2">
      <c r="A57" s="25">
        <v>45657</v>
      </c>
      <c r="B57" s="52" t="s">
        <v>447</v>
      </c>
      <c r="C57" s="10" t="s">
        <v>459</v>
      </c>
      <c r="D57" s="56">
        <v>7</v>
      </c>
      <c r="E57" s="63">
        <f>41.75-D57</f>
        <v>34.75</v>
      </c>
      <c r="F57" s="11">
        <f>+D57*125</f>
        <v>875</v>
      </c>
      <c r="G57" s="11">
        <f>3215.1-F57</f>
        <v>2340.1</v>
      </c>
      <c r="H57" s="158"/>
      <c r="I57" s="20">
        <f t="shared" si="42"/>
        <v>3215.1</v>
      </c>
      <c r="J57" s="8">
        <f t="shared" ref="J57" si="46">+I57*0.05</f>
        <v>160.755</v>
      </c>
      <c r="K57" s="8">
        <f t="shared" ref="K57" si="47">+I57*0.09975</f>
        <v>320.70622500000002</v>
      </c>
      <c r="L57" s="92">
        <f t="shared" si="43"/>
        <v>3696.5612249999999</v>
      </c>
      <c r="M57" s="90">
        <v>3696.5612249999999</v>
      </c>
      <c r="N57" s="162">
        <f t="shared" si="41"/>
        <v>0</v>
      </c>
      <c r="O57" s="90"/>
      <c r="P57" s="88"/>
    </row>
    <row r="58" spans="1:16" ht="17.25" customHeight="1" x14ac:dyDescent="0.2">
      <c r="A58" s="25">
        <v>45688</v>
      </c>
      <c r="B58" s="52" t="s">
        <v>460</v>
      </c>
      <c r="C58" s="10" t="s">
        <v>468</v>
      </c>
      <c r="D58" s="56">
        <f>5+9.5</f>
        <v>14.5</v>
      </c>
      <c r="E58" s="63">
        <f>80-D58</f>
        <v>65.5</v>
      </c>
      <c r="F58" s="11">
        <f>+D58*125</f>
        <v>1812.5</v>
      </c>
      <c r="G58" s="11">
        <f>5820.58-H58-F58</f>
        <v>3929.6800000000003</v>
      </c>
      <c r="H58" s="158">
        <v>78.400000000000006</v>
      </c>
      <c r="I58" s="20">
        <f t="shared" ref="I58:I60" si="48">SUM(F58:H58)</f>
        <v>5820.58</v>
      </c>
      <c r="J58" s="8">
        <f t="shared" ref="J58:J60" si="49">+I58*0.05</f>
        <v>291.029</v>
      </c>
      <c r="K58" s="8">
        <f t="shared" ref="K58:K60" si="50">+I58*0.09975</f>
        <v>580.60285499999998</v>
      </c>
      <c r="L58" s="92">
        <f t="shared" ref="L58:L60" si="51">SUM(I58:K58)</f>
        <v>6692.2118550000005</v>
      </c>
      <c r="M58" s="90">
        <v>6692.2118550000005</v>
      </c>
      <c r="N58" s="162">
        <f t="shared" ref="N58:N63" si="52">+L58-M58</f>
        <v>0</v>
      </c>
      <c r="O58" s="90"/>
      <c r="P58" s="88"/>
    </row>
    <row r="59" spans="1:16" ht="17.25" customHeight="1" x14ac:dyDescent="0.2">
      <c r="A59" s="25">
        <v>45716</v>
      </c>
      <c r="B59" s="52" t="s">
        <v>461</v>
      </c>
      <c r="C59" s="10" t="s">
        <v>469</v>
      </c>
      <c r="D59" s="56">
        <v>20.5</v>
      </c>
      <c r="E59" s="63">
        <f>75.25-D59</f>
        <v>54.75</v>
      </c>
      <c r="F59" s="11">
        <f>+D59*125</f>
        <v>2562.5</v>
      </c>
      <c r="G59" s="11">
        <f>5857.26-F59</f>
        <v>3294.76</v>
      </c>
      <c r="H59" s="158"/>
      <c r="I59" s="20">
        <f t="shared" si="48"/>
        <v>5857.26</v>
      </c>
      <c r="J59" s="8">
        <f t="shared" si="49"/>
        <v>292.863</v>
      </c>
      <c r="K59" s="8">
        <f t="shared" si="50"/>
        <v>584.26168500000006</v>
      </c>
      <c r="L59" s="92">
        <f t="shared" si="51"/>
        <v>6734.3846850000009</v>
      </c>
      <c r="M59" s="90">
        <v>6734.3846850000009</v>
      </c>
      <c r="N59" s="162">
        <f t="shared" si="52"/>
        <v>0</v>
      </c>
      <c r="O59" s="90"/>
      <c r="P59" s="88"/>
    </row>
    <row r="60" spans="1:16" ht="17.25" customHeight="1" x14ac:dyDescent="0.2">
      <c r="A60" s="25">
        <v>45747</v>
      </c>
      <c r="B60" s="52" t="s">
        <v>462</v>
      </c>
      <c r="C60" s="10" t="s">
        <v>470</v>
      </c>
      <c r="D60" s="56">
        <f>15.5+8.75</f>
        <v>24.25</v>
      </c>
      <c r="E60" s="63">
        <f>62.25-D60</f>
        <v>38</v>
      </c>
      <c r="F60" s="11">
        <f>+D60*125</f>
        <v>3031.25</v>
      </c>
      <c r="G60" s="11">
        <f>5672.73-F60</f>
        <v>2641.4799999999996</v>
      </c>
      <c r="H60" s="158"/>
      <c r="I60" s="20">
        <f t="shared" si="48"/>
        <v>5672.73</v>
      </c>
      <c r="J60" s="8">
        <f t="shared" si="49"/>
        <v>283.63650000000001</v>
      </c>
      <c r="K60" s="8">
        <f t="shared" si="50"/>
        <v>565.85481749999997</v>
      </c>
      <c r="L60" s="92">
        <f t="shared" si="51"/>
        <v>6522.2213174999988</v>
      </c>
      <c r="M60" s="90">
        <v>6522.2213174999988</v>
      </c>
      <c r="N60" s="162">
        <f t="shared" si="52"/>
        <v>0</v>
      </c>
      <c r="O60" s="90"/>
      <c r="P60" s="88"/>
    </row>
    <row r="61" spans="1:16" ht="17.25" customHeight="1" x14ac:dyDescent="0.2">
      <c r="A61" s="25">
        <v>45777</v>
      </c>
      <c r="B61" s="52" t="s">
        <v>475</v>
      </c>
      <c r="C61" s="10" t="s">
        <v>481</v>
      </c>
      <c r="D61" s="56">
        <v>29.5</v>
      </c>
      <c r="E61" s="63">
        <f>63.75-D61</f>
        <v>34.25</v>
      </c>
      <c r="F61" s="11">
        <f>375+125+3250</f>
        <v>3750</v>
      </c>
      <c r="G61" s="11">
        <f>6210.51-F61</f>
        <v>2460.5100000000002</v>
      </c>
      <c r="H61" s="158"/>
      <c r="I61" s="20">
        <f t="shared" ref="I61:I63" si="53">SUM(F61:H61)</f>
        <v>6210.51</v>
      </c>
      <c r="J61" s="8">
        <f t="shared" ref="J61:J63" si="54">+I61*0.05</f>
        <v>310.52550000000002</v>
      </c>
      <c r="K61" s="8">
        <f t="shared" ref="K61:K63" si="55">+I61*0.09975</f>
        <v>619.49837250000007</v>
      </c>
      <c r="L61" s="92">
        <f t="shared" ref="L61:L63" si="56">SUM(I61:K61)</f>
        <v>7140.5338725000001</v>
      </c>
      <c r="M61" s="90">
        <v>7140.5338725000001</v>
      </c>
      <c r="N61" s="162">
        <f t="shared" si="52"/>
        <v>0</v>
      </c>
      <c r="O61" s="90"/>
      <c r="P61" s="88"/>
    </row>
    <row r="62" spans="1:16" ht="17.25" customHeight="1" x14ac:dyDescent="0.2">
      <c r="A62" s="25">
        <v>45808</v>
      </c>
      <c r="B62" s="52" t="s">
        <v>476</v>
      </c>
      <c r="C62" s="10" t="s">
        <v>482</v>
      </c>
      <c r="D62" s="56">
        <f>4.25+17.75+2</f>
        <v>24</v>
      </c>
      <c r="E62" s="63">
        <f>66-D62</f>
        <v>42</v>
      </c>
      <c r="F62" s="11">
        <f>150+406.25+2218.75+250</f>
        <v>3025</v>
      </c>
      <c r="G62" s="11">
        <f>5835.82-F62</f>
        <v>2810.8199999999997</v>
      </c>
      <c r="H62" s="158"/>
      <c r="I62" s="20">
        <f t="shared" si="53"/>
        <v>5835.82</v>
      </c>
      <c r="J62" s="8">
        <f t="shared" si="54"/>
        <v>291.791</v>
      </c>
      <c r="K62" s="8">
        <f t="shared" si="55"/>
        <v>582.12304500000005</v>
      </c>
      <c r="L62" s="92">
        <f t="shared" si="56"/>
        <v>6709.7340450000002</v>
      </c>
      <c r="M62" s="90"/>
      <c r="N62" s="162">
        <f t="shared" si="52"/>
        <v>6709.7340450000002</v>
      </c>
      <c r="O62" s="90"/>
      <c r="P62" s="88"/>
    </row>
    <row r="63" spans="1:16" ht="17.25" customHeight="1" x14ac:dyDescent="0.2">
      <c r="A63" s="25">
        <v>45838</v>
      </c>
      <c r="B63" s="52" t="s">
        <v>477</v>
      </c>
      <c r="C63" s="10" t="s">
        <v>483</v>
      </c>
      <c r="D63" s="56">
        <f>4.5+14.75</f>
        <v>19.25</v>
      </c>
      <c r="E63" s="63">
        <f>69.25-D63</f>
        <v>50</v>
      </c>
      <c r="F63" s="11">
        <f>562.5+1843.75</f>
        <v>2406.25</v>
      </c>
      <c r="G63" s="11">
        <f>5919.59-F63</f>
        <v>3513.34</v>
      </c>
      <c r="H63" s="158"/>
      <c r="I63" s="20">
        <f t="shared" si="53"/>
        <v>5919.59</v>
      </c>
      <c r="J63" s="8">
        <f t="shared" si="54"/>
        <v>295.97950000000003</v>
      </c>
      <c r="K63" s="8">
        <f t="shared" si="55"/>
        <v>590.47910250000007</v>
      </c>
      <c r="L63" s="92">
        <f t="shared" si="56"/>
        <v>6806.0486025000009</v>
      </c>
      <c r="M63" s="90"/>
      <c r="N63" s="162">
        <f t="shared" si="52"/>
        <v>6806.0486025000009</v>
      </c>
      <c r="O63" s="90"/>
      <c r="P63" s="88"/>
    </row>
    <row r="64" spans="1:16" ht="17.25" customHeight="1" x14ac:dyDescent="0.2">
      <c r="A64" s="25">
        <v>45869</v>
      </c>
      <c r="B64" s="52" t="s">
        <v>490</v>
      </c>
      <c r="C64" s="10" t="s">
        <v>500</v>
      </c>
      <c r="D64" s="56">
        <v>4.75</v>
      </c>
      <c r="E64" s="63">
        <f>40-D64</f>
        <v>35.25</v>
      </c>
      <c r="F64" s="11">
        <f>+D64*125</f>
        <v>593.75</v>
      </c>
      <c r="G64" s="11">
        <f>3000.1-F64</f>
        <v>2406.35</v>
      </c>
      <c r="H64" s="158"/>
      <c r="I64" s="20">
        <f t="shared" ref="I64:I66" si="57">SUM(F64:H64)</f>
        <v>3000.1</v>
      </c>
      <c r="J64" s="8">
        <f t="shared" ref="J64:J66" si="58">+I64*0.05</f>
        <v>150.005</v>
      </c>
      <c r="K64" s="8">
        <f t="shared" ref="K64:K66" si="59">+I64*0.09975</f>
        <v>299.259975</v>
      </c>
      <c r="L64" s="92">
        <f t="shared" ref="L64:L66" si="60">SUM(I64:K64)</f>
        <v>3449.364975</v>
      </c>
      <c r="M64" s="90"/>
      <c r="N64" s="162">
        <f t="shared" ref="N64:N66" si="61">+L64-M64</f>
        <v>3449.364975</v>
      </c>
      <c r="O64" s="90"/>
      <c r="P64" s="88"/>
    </row>
    <row r="65" spans="1:16" ht="17.25" customHeight="1" x14ac:dyDescent="0.2">
      <c r="A65" s="25">
        <v>45900</v>
      </c>
      <c r="B65" s="52" t="s">
        <v>488</v>
      </c>
      <c r="C65" s="10" t="s">
        <v>501</v>
      </c>
      <c r="D65" s="56">
        <v>7.75</v>
      </c>
      <c r="E65" s="63">
        <f>28-D65</f>
        <v>20.25</v>
      </c>
      <c r="F65" s="11">
        <f>+D65*125</f>
        <v>968.75</v>
      </c>
      <c r="G65" s="11">
        <f>2100.68-F65</f>
        <v>1131.9299999999998</v>
      </c>
      <c r="H65" s="158"/>
      <c r="I65" s="20">
        <f t="shared" si="57"/>
        <v>2100.6799999999998</v>
      </c>
      <c r="J65" s="8">
        <f t="shared" si="58"/>
        <v>105.03399999999999</v>
      </c>
      <c r="K65" s="8">
        <f t="shared" si="59"/>
        <v>209.54282999999998</v>
      </c>
      <c r="L65" s="92">
        <f t="shared" si="60"/>
        <v>2415.2568299999998</v>
      </c>
      <c r="M65" s="90"/>
      <c r="N65" s="162">
        <f t="shared" si="61"/>
        <v>2415.2568299999998</v>
      </c>
      <c r="O65" s="90"/>
      <c r="P65" s="88"/>
    </row>
    <row r="66" spans="1:16" ht="17.25" customHeight="1" x14ac:dyDescent="0.2">
      <c r="A66" s="25">
        <v>45930</v>
      </c>
      <c r="B66" s="52" t="s">
        <v>491</v>
      </c>
      <c r="C66" s="10" t="s">
        <v>502</v>
      </c>
      <c r="D66" s="56">
        <v>7.5</v>
      </c>
      <c r="E66" s="63">
        <f>26-D66</f>
        <v>18.5</v>
      </c>
      <c r="F66" s="11">
        <f>+D66*125</f>
        <v>937.5</v>
      </c>
      <c r="G66" s="11">
        <f>2068.48-F66</f>
        <v>1130.98</v>
      </c>
      <c r="H66" s="158"/>
      <c r="I66" s="20">
        <f t="shared" si="57"/>
        <v>2068.48</v>
      </c>
      <c r="J66" s="8">
        <f t="shared" si="58"/>
        <v>103.42400000000001</v>
      </c>
      <c r="K66" s="8">
        <f t="shared" si="59"/>
        <v>206.33088000000001</v>
      </c>
      <c r="L66" s="92">
        <f t="shared" si="60"/>
        <v>2378.23488</v>
      </c>
      <c r="M66" s="90"/>
      <c r="N66" s="162">
        <f t="shared" si="61"/>
        <v>2378.23488</v>
      </c>
      <c r="O66" s="90"/>
      <c r="P66" s="88"/>
    </row>
    <row r="67" spans="1:16" ht="17.25" customHeight="1" x14ac:dyDescent="0.2">
      <c r="A67" s="25"/>
      <c r="B67" s="52"/>
      <c r="C67" s="10"/>
      <c r="D67" s="56"/>
      <c r="E67" s="63"/>
      <c r="F67" s="11"/>
      <c r="G67" s="11"/>
      <c r="H67" s="158"/>
      <c r="I67" s="20"/>
      <c r="J67" s="8"/>
      <c r="K67" s="8"/>
      <c r="L67" s="92"/>
      <c r="M67" s="90"/>
      <c r="N67" s="162"/>
      <c r="O67" s="90"/>
      <c r="P67" s="88"/>
    </row>
    <row r="68" spans="1:16" ht="18.75" customHeight="1" thickBot="1" x14ac:dyDescent="0.25">
      <c r="A68" s="24"/>
      <c r="B68" s="24"/>
      <c r="C68" s="24"/>
      <c r="D68" s="81">
        <f t="shared" ref="D68:N68" si="62">SUM(D4:D67)</f>
        <v>7116.75</v>
      </c>
      <c r="E68" s="66">
        <f t="shared" si="62"/>
        <v>23535.4</v>
      </c>
      <c r="F68" s="24">
        <f t="shared" si="62"/>
        <v>894837.5</v>
      </c>
      <c r="G68" s="24">
        <f t="shared" si="62"/>
        <v>1345461.25</v>
      </c>
      <c r="H68" s="159">
        <f t="shared" si="62"/>
        <v>45519.14</v>
      </c>
      <c r="I68" s="24">
        <f t="shared" si="62"/>
        <v>2285817.8899999992</v>
      </c>
      <c r="J68" s="24">
        <f t="shared" si="62"/>
        <v>114210.75000000003</v>
      </c>
      <c r="K68" s="24">
        <f t="shared" si="62"/>
        <v>227850.48112500002</v>
      </c>
      <c r="L68" s="91">
        <f t="shared" si="62"/>
        <v>2627927.4211249994</v>
      </c>
      <c r="M68" s="91">
        <f t="shared" si="62"/>
        <v>2606168.7817925001</v>
      </c>
      <c r="N68" s="159">
        <f t="shared" si="62"/>
        <v>21758.639332499999</v>
      </c>
      <c r="O68" s="91">
        <f>SUM(O5:O67)</f>
        <v>875000</v>
      </c>
    </row>
    <row r="69" spans="1:16" ht="18.75" customHeight="1" thickTop="1" x14ac:dyDescent="0.2">
      <c r="C69" s="10"/>
      <c r="D69" s="10"/>
      <c r="E69" s="63">
        <f>+E68+D68</f>
        <v>30652.15</v>
      </c>
      <c r="F69" s="11"/>
      <c r="G69" s="11"/>
      <c r="H69" s="29"/>
      <c r="I69" s="21"/>
      <c r="J69" s="11"/>
      <c r="K69" s="11"/>
      <c r="L69" s="11"/>
      <c r="M69" s="9"/>
    </row>
    <row r="70" spans="1:16" x14ac:dyDescent="0.2">
      <c r="C70" s="10"/>
      <c r="D70" s="10"/>
      <c r="E70" s="35"/>
      <c r="G70" s="28"/>
      <c r="I70" s="16"/>
    </row>
    <row r="71" spans="1:16" x14ac:dyDescent="0.2">
      <c r="C71" s="10"/>
      <c r="D71" s="10"/>
      <c r="E71" s="35"/>
      <c r="H71" s="9"/>
      <c r="I71" s="16"/>
      <c r="O71" s="9"/>
    </row>
    <row r="72" spans="1:16" x14ac:dyDescent="0.2">
      <c r="C72" s="10"/>
      <c r="D72" s="10"/>
      <c r="E72" s="35"/>
      <c r="I72" s="15"/>
    </row>
    <row r="73" spans="1:16" x14ac:dyDescent="0.2">
      <c r="C73" s="10"/>
      <c r="D73" s="10"/>
      <c r="E73" s="35"/>
      <c r="H73" s="5"/>
      <c r="I73" s="22"/>
    </row>
    <row r="74" spans="1:16" x14ac:dyDescent="0.2">
      <c r="C74" s="10"/>
      <c r="D74" s="10"/>
      <c r="E74" s="35"/>
      <c r="H74" s="9"/>
      <c r="I74" s="22"/>
    </row>
    <row r="75" spans="1:16" x14ac:dyDescent="0.2">
      <c r="B75" s="17"/>
      <c r="H75" s="4"/>
      <c r="I75" s="4"/>
      <c r="J75" s="1"/>
      <c r="K75" s="1"/>
      <c r="L75" s="1"/>
    </row>
    <row r="76" spans="1:16" x14ac:dyDescent="0.2">
      <c r="B76" s="55"/>
      <c r="H76" s="4"/>
      <c r="I76" s="4"/>
      <c r="J76" s="1"/>
      <c r="K76" s="1"/>
      <c r="L76" s="1"/>
    </row>
    <row r="77" spans="1:16" x14ac:dyDescent="0.2">
      <c r="B77" s="17"/>
      <c r="H77" s="4"/>
      <c r="I77" s="82"/>
      <c r="J77" s="1"/>
      <c r="K77" s="1"/>
      <c r="L77" s="1"/>
    </row>
    <row r="78" spans="1:16" x14ac:dyDescent="0.2">
      <c r="H78" s="4"/>
      <c r="I78" s="82"/>
      <c r="J78" s="1"/>
      <c r="K78" s="1"/>
      <c r="L78" s="1"/>
    </row>
    <row r="79" spans="1:16" x14ac:dyDescent="0.2">
      <c r="H79" s="4"/>
      <c r="I79" s="4"/>
      <c r="J79" s="1"/>
      <c r="K79" s="1"/>
      <c r="L79" s="1"/>
    </row>
    <row r="80" spans="1:16" x14ac:dyDescent="0.2">
      <c r="B80" s="55"/>
      <c r="H80" s="4"/>
      <c r="I80" s="4"/>
      <c r="J80" s="1"/>
      <c r="K80" s="1"/>
      <c r="L80" s="1"/>
    </row>
    <row r="81" spans="2:12" x14ac:dyDescent="0.2">
      <c r="B81" s="17"/>
      <c r="H81" s="4"/>
      <c r="I81" s="4"/>
      <c r="J81" s="1"/>
      <c r="K81" s="1"/>
      <c r="L81" s="1"/>
    </row>
    <row r="82" spans="2:12" x14ac:dyDescent="0.2">
      <c r="H82" s="4"/>
      <c r="I82" s="16"/>
    </row>
    <row r="83" spans="2:12" x14ac:dyDescent="0.2">
      <c r="I83" s="15"/>
    </row>
    <row r="84" spans="2:12" x14ac:dyDescent="0.2">
      <c r="I84" s="23"/>
    </row>
    <row r="86" spans="2:12" x14ac:dyDescent="0.2">
      <c r="H86" s="13"/>
    </row>
    <row r="88" spans="2:12" x14ac:dyDescent="0.2">
      <c r="I88" s="15"/>
    </row>
    <row r="89" spans="2:12" x14ac:dyDescent="0.2">
      <c r="I89" s="15"/>
    </row>
    <row r="92" spans="2:12" x14ac:dyDescent="0.2">
      <c r="H92" s="13"/>
      <c r="I92" s="23"/>
    </row>
  </sheetData>
  <pageMargins left="0" right="0" top="0.19685039370078741" bottom="0" header="0.39370078740157483" footer="0.15748031496062992"/>
  <pageSetup scale="67" orientation="landscape" cellComments="asDisplayed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F112-7810-46FF-BBD6-F0A634E8B6CB}">
  <sheetPr>
    <pageSetUpPr fitToPage="1"/>
  </sheetPr>
  <dimension ref="A1:N180"/>
  <sheetViews>
    <sheetView showGridLines="0" zoomScaleNormal="100" workbookViewId="0">
      <selection activeCell="E42" sqref="E42"/>
    </sheetView>
  </sheetViews>
  <sheetFormatPr baseColWidth="10" defaultColWidth="11.42578125" defaultRowHeight="12.75" x14ac:dyDescent="0.2"/>
  <cols>
    <col min="1" max="1" width="12.42578125" style="14" customWidth="1"/>
    <col min="2" max="2" width="27" style="51" customWidth="1"/>
    <col min="3" max="3" width="13.5703125" style="65" customWidth="1"/>
    <col min="4" max="4" width="13.5703125" style="3" customWidth="1"/>
    <col min="5" max="5" width="21.85546875" style="34" bestFit="1" customWidth="1"/>
    <col min="6" max="6" width="14.140625" style="4" customWidth="1"/>
    <col min="7" max="7" width="15.7109375" style="1" customWidth="1"/>
    <col min="8" max="8" width="12.140625" style="19" customWidth="1"/>
    <col min="9" max="11" width="12.140625" style="4" customWidth="1"/>
    <col min="12" max="12" width="12.85546875" style="1" customWidth="1"/>
    <col min="13" max="13" width="11.140625" style="1" customWidth="1"/>
    <col min="14" max="14" width="15.5703125" style="1" customWidth="1"/>
    <col min="15" max="15" width="13.7109375" style="1" customWidth="1"/>
    <col min="16" max="16" width="11.42578125" style="1" customWidth="1"/>
    <col min="17" max="16384" width="11.42578125" style="1"/>
  </cols>
  <sheetData>
    <row r="1" spans="1:14" x14ac:dyDescent="0.2">
      <c r="C1" s="10"/>
      <c r="D1" s="10"/>
      <c r="E1" s="35"/>
      <c r="G1" s="9"/>
      <c r="H1" s="16"/>
      <c r="N1" s="9"/>
    </row>
    <row r="2" spans="1:14" x14ac:dyDescent="0.2">
      <c r="A2" s="121" t="s">
        <v>156</v>
      </c>
      <c r="B2" s="121" t="s">
        <v>157</v>
      </c>
      <c r="C2" s="121" t="s">
        <v>158</v>
      </c>
      <c r="D2" s="121" t="s">
        <v>159</v>
      </c>
      <c r="E2" s="122" t="s">
        <v>160</v>
      </c>
      <c r="F2" s="123" t="s">
        <v>238</v>
      </c>
      <c r="G2" s="124"/>
      <c r="H2" s="15"/>
    </row>
    <row r="3" spans="1:14" x14ac:dyDescent="0.2">
      <c r="A3" s="125"/>
      <c r="B3"/>
      <c r="C3"/>
      <c r="D3"/>
      <c r="E3" s="128"/>
      <c r="F3"/>
      <c r="G3"/>
      <c r="H3" s="22"/>
    </row>
    <row r="4" spans="1:14" x14ac:dyDescent="0.2">
      <c r="A4" s="126" t="s">
        <v>167</v>
      </c>
      <c r="B4" s="52" t="s">
        <v>517</v>
      </c>
      <c r="C4" s="10">
        <v>2101004</v>
      </c>
      <c r="D4" s="127"/>
      <c r="E4" s="128">
        <v>323.75</v>
      </c>
      <c r="F4" t="s">
        <v>242</v>
      </c>
      <c r="G4" s="129"/>
      <c r="H4" s="22"/>
    </row>
    <row r="5" spans="1:14" x14ac:dyDescent="0.2">
      <c r="A5" s="126" t="s">
        <v>168</v>
      </c>
      <c r="B5" s="52" t="s">
        <v>517</v>
      </c>
      <c r="C5" s="10">
        <v>2105005</v>
      </c>
      <c r="D5" s="127"/>
      <c r="E5" s="128">
        <v>416.25</v>
      </c>
      <c r="F5" t="s">
        <v>242</v>
      </c>
      <c r="G5" s="129"/>
      <c r="H5" s="4"/>
      <c r="I5" s="1"/>
      <c r="J5" s="1"/>
      <c r="K5" s="1"/>
    </row>
    <row r="6" spans="1:14" x14ac:dyDescent="0.2">
      <c r="A6" s="126" t="s">
        <v>169</v>
      </c>
      <c r="B6" s="52" t="s">
        <v>517</v>
      </c>
      <c r="C6" s="10">
        <v>2104007</v>
      </c>
      <c r="D6" s="127"/>
      <c r="E6" s="128">
        <v>9750</v>
      </c>
      <c r="F6" t="s">
        <v>242</v>
      </c>
      <c r="G6" s="129"/>
      <c r="H6" s="4"/>
      <c r="I6" s="1"/>
      <c r="J6" s="1"/>
      <c r="K6" s="1"/>
    </row>
    <row r="7" spans="1:14" x14ac:dyDescent="0.2">
      <c r="A7" s="126" t="s">
        <v>209</v>
      </c>
      <c r="B7" s="52" t="s">
        <v>517</v>
      </c>
      <c r="C7" s="47">
        <v>22011</v>
      </c>
      <c r="D7" s="127"/>
      <c r="E7" s="128">
        <v>370</v>
      </c>
      <c r="F7" t="s">
        <v>242</v>
      </c>
      <c r="G7" s="130"/>
      <c r="H7" s="4"/>
      <c r="I7" s="1"/>
      <c r="J7" s="1"/>
      <c r="K7" s="1"/>
    </row>
    <row r="8" spans="1:14" x14ac:dyDescent="0.2">
      <c r="A8" s="126" t="s">
        <v>226</v>
      </c>
      <c r="B8" s="52" t="s">
        <v>517</v>
      </c>
      <c r="C8" s="47">
        <v>22037</v>
      </c>
      <c r="D8" s="127"/>
      <c r="E8" s="128">
        <v>185</v>
      </c>
      <c r="F8" t="s">
        <v>242</v>
      </c>
      <c r="G8" s="130"/>
      <c r="H8" s="4"/>
      <c r="I8" s="1"/>
      <c r="J8" s="1"/>
      <c r="K8" s="1"/>
    </row>
    <row r="9" spans="1:14" x14ac:dyDescent="0.2">
      <c r="A9" s="126" t="s">
        <v>275</v>
      </c>
      <c r="B9" s="52" t="s">
        <v>517</v>
      </c>
      <c r="C9" s="10">
        <v>22076</v>
      </c>
      <c r="D9" s="127"/>
      <c r="E9" s="128">
        <v>416.25</v>
      </c>
      <c r="F9" t="s">
        <v>242</v>
      </c>
      <c r="G9" s="129"/>
      <c r="H9" s="4"/>
      <c r="I9" s="1"/>
      <c r="J9" s="1"/>
      <c r="K9" s="1"/>
    </row>
    <row r="10" spans="1:14" x14ac:dyDescent="0.2">
      <c r="A10" s="126" t="s">
        <v>276</v>
      </c>
      <c r="B10" s="52" t="s">
        <v>517</v>
      </c>
      <c r="C10" s="10">
        <v>22092</v>
      </c>
      <c r="D10" s="127"/>
      <c r="E10" s="128">
        <v>231.25</v>
      </c>
      <c r="F10" t="s">
        <v>242</v>
      </c>
      <c r="G10" s="129"/>
      <c r="H10" s="4"/>
      <c r="I10" s="1"/>
      <c r="J10" s="1"/>
      <c r="K10" s="1"/>
    </row>
    <row r="11" spans="1:14" x14ac:dyDescent="0.2">
      <c r="A11" s="126" t="s">
        <v>277</v>
      </c>
      <c r="B11" s="52" t="s">
        <v>517</v>
      </c>
      <c r="C11" s="47">
        <v>22104</v>
      </c>
      <c r="D11" s="127"/>
      <c r="E11" s="128">
        <v>4970</v>
      </c>
      <c r="F11" t="s">
        <v>242</v>
      </c>
      <c r="G11" s="130"/>
      <c r="H11" s="4"/>
      <c r="I11" s="1"/>
      <c r="J11" s="1"/>
      <c r="K11" s="1"/>
    </row>
    <row r="12" spans="1:14" x14ac:dyDescent="0.2">
      <c r="A12" s="126" t="s">
        <v>278</v>
      </c>
      <c r="B12" s="52" t="s">
        <v>517</v>
      </c>
      <c r="C12" s="47">
        <v>22106</v>
      </c>
      <c r="D12" s="127"/>
      <c r="E12" s="128">
        <v>1341.25</v>
      </c>
      <c r="F12" t="s">
        <v>242</v>
      </c>
      <c r="G12" s="130"/>
      <c r="H12" s="4"/>
      <c r="I12" s="1"/>
      <c r="J12" s="1"/>
      <c r="K12" s="1"/>
    </row>
    <row r="13" spans="1:14" x14ac:dyDescent="0.2">
      <c r="A13" s="126" t="s">
        <v>299</v>
      </c>
      <c r="B13" s="52" t="s">
        <v>517</v>
      </c>
      <c r="C13" s="47">
        <v>23004</v>
      </c>
      <c r="D13" s="127"/>
      <c r="E13" s="138">
        <v>971.25</v>
      </c>
      <c r="F13" t="s">
        <v>242</v>
      </c>
      <c r="G13" s="130"/>
      <c r="H13" s="4"/>
      <c r="I13" s="1"/>
      <c r="J13" s="1"/>
      <c r="K13" s="1"/>
    </row>
    <row r="14" spans="1:14" x14ac:dyDescent="0.2">
      <c r="A14" s="126" t="s">
        <v>300</v>
      </c>
      <c r="B14" s="52" t="s">
        <v>517</v>
      </c>
      <c r="C14" s="47">
        <v>23015</v>
      </c>
      <c r="D14" s="127"/>
      <c r="E14" s="128">
        <v>370</v>
      </c>
      <c r="F14" t="s">
        <v>242</v>
      </c>
      <c r="G14" s="130"/>
      <c r="H14" s="4"/>
      <c r="I14" s="1"/>
      <c r="J14" s="1"/>
      <c r="K14" s="1"/>
    </row>
    <row r="15" spans="1:14" x14ac:dyDescent="0.2">
      <c r="A15" s="126" t="s">
        <v>304</v>
      </c>
      <c r="B15" s="52" t="s">
        <v>517</v>
      </c>
      <c r="C15" s="47">
        <v>23030</v>
      </c>
      <c r="D15" s="127"/>
      <c r="E15" s="128">
        <v>370</v>
      </c>
      <c r="F15" t="s">
        <v>242</v>
      </c>
      <c r="G15" s="130"/>
      <c r="H15" s="4"/>
      <c r="I15" s="1"/>
      <c r="J15" s="1"/>
      <c r="K15" s="1"/>
    </row>
    <row r="16" spans="1:14" x14ac:dyDescent="0.2">
      <c r="A16" s="126" t="s">
        <v>311</v>
      </c>
      <c r="B16" s="52" t="s">
        <v>517</v>
      </c>
      <c r="C16" s="47">
        <v>23039</v>
      </c>
      <c r="D16" s="127"/>
      <c r="E16" s="128">
        <v>416.25</v>
      </c>
      <c r="F16" t="s">
        <v>242</v>
      </c>
      <c r="G16" s="130"/>
      <c r="H16" s="4"/>
      <c r="I16" s="1"/>
      <c r="J16" s="1"/>
      <c r="K16" s="1"/>
    </row>
    <row r="17" spans="1:11" x14ac:dyDescent="0.2">
      <c r="A17" s="126" t="s">
        <v>312</v>
      </c>
      <c r="B17" s="52" t="s">
        <v>517</v>
      </c>
      <c r="C17" s="47">
        <v>23062</v>
      </c>
      <c r="D17" s="127"/>
      <c r="E17" s="128">
        <v>4227.5</v>
      </c>
      <c r="F17" t="s">
        <v>242</v>
      </c>
      <c r="G17" s="130"/>
      <c r="H17" s="4"/>
      <c r="I17" s="1"/>
      <c r="J17" s="1"/>
      <c r="K17" s="1"/>
    </row>
    <row r="18" spans="1:11" x14ac:dyDescent="0.2">
      <c r="A18" s="126" t="s">
        <v>318</v>
      </c>
      <c r="B18" s="52" t="s">
        <v>517</v>
      </c>
      <c r="C18" s="47">
        <v>23073</v>
      </c>
      <c r="D18" s="127"/>
      <c r="E18" s="128">
        <v>416.25</v>
      </c>
      <c r="F18" t="s">
        <v>242</v>
      </c>
      <c r="G18" s="130"/>
      <c r="H18" s="4"/>
      <c r="I18" s="1"/>
      <c r="J18" s="1"/>
      <c r="K18" s="1"/>
    </row>
    <row r="19" spans="1:11" x14ac:dyDescent="0.2">
      <c r="A19" s="126" t="s">
        <v>318</v>
      </c>
      <c r="B19" s="52" t="s">
        <v>517</v>
      </c>
      <c r="C19" s="47">
        <v>23080</v>
      </c>
      <c r="D19" s="127"/>
      <c r="E19" s="128">
        <v>3660</v>
      </c>
      <c r="F19" t="s">
        <v>242</v>
      </c>
      <c r="G19" s="130"/>
      <c r="H19" s="4"/>
      <c r="I19" s="1"/>
      <c r="J19" s="1"/>
      <c r="K19" s="1"/>
    </row>
    <row r="20" spans="1:11" x14ac:dyDescent="0.2">
      <c r="A20" s="126" t="s">
        <v>323</v>
      </c>
      <c r="B20" s="52" t="s">
        <v>517</v>
      </c>
      <c r="C20" s="47">
        <v>23092</v>
      </c>
      <c r="D20" s="127"/>
      <c r="E20" s="128">
        <v>277.5</v>
      </c>
      <c r="F20" t="s">
        <v>242</v>
      </c>
      <c r="G20" s="130"/>
      <c r="H20" s="4"/>
      <c r="I20" s="1"/>
      <c r="J20" s="1"/>
      <c r="K20" s="1"/>
    </row>
    <row r="21" spans="1:11" x14ac:dyDescent="0.2">
      <c r="A21" s="126" t="s">
        <v>339</v>
      </c>
      <c r="B21" s="52" t="s">
        <v>517</v>
      </c>
      <c r="C21" s="47">
        <v>23118</v>
      </c>
      <c r="D21" s="127"/>
      <c r="E21" s="128">
        <v>185</v>
      </c>
      <c r="F21" t="s">
        <v>242</v>
      </c>
      <c r="G21" s="130"/>
      <c r="H21" s="4"/>
      <c r="I21" s="1"/>
      <c r="J21" s="1"/>
      <c r="K21" s="1"/>
    </row>
    <row r="22" spans="1:11" x14ac:dyDescent="0.2">
      <c r="A22" s="126" t="s">
        <v>344</v>
      </c>
      <c r="B22" s="52" t="s">
        <v>517</v>
      </c>
      <c r="C22" s="47">
        <v>23134</v>
      </c>
      <c r="D22"/>
      <c r="E22" s="128">
        <v>138.75</v>
      </c>
      <c r="F22" t="s">
        <v>242</v>
      </c>
      <c r="G22" s="130"/>
      <c r="H22" s="4"/>
      <c r="I22" s="1"/>
      <c r="J22" s="1"/>
      <c r="K22" s="1"/>
    </row>
    <row r="23" spans="1:11" x14ac:dyDescent="0.2">
      <c r="A23" s="126" t="s">
        <v>375</v>
      </c>
      <c r="B23" s="52" t="s">
        <v>517</v>
      </c>
      <c r="C23" s="47">
        <v>23166</v>
      </c>
      <c r="D23"/>
      <c r="E23" s="128">
        <v>3490</v>
      </c>
      <c r="F23" t="s">
        <v>242</v>
      </c>
      <c r="G23" s="130"/>
      <c r="H23" s="4"/>
      <c r="I23" s="1"/>
      <c r="J23" s="1"/>
      <c r="K23" s="1"/>
    </row>
    <row r="24" spans="1:11" x14ac:dyDescent="0.2">
      <c r="A24" s="212" t="s">
        <v>399</v>
      </c>
      <c r="B24" s="52" t="s">
        <v>517</v>
      </c>
      <c r="C24" s="47">
        <v>24038</v>
      </c>
      <c r="D24"/>
      <c r="E24" s="128">
        <v>4297.5</v>
      </c>
      <c r="F24" t="s">
        <v>242</v>
      </c>
      <c r="G24" s="130"/>
      <c r="H24" s="4"/>
      <c r="I24" s="1"/>
      <c r="J24" s="1"/>
      <c r="K24" s="1"/>
    </row>
    <row r="25" spans="1:11" x14ac:dyDescent="0.2">
      <c r="A25" s="212" t="s">
        <v>417</v>
      </c>
      <c r="B25" s="52" t="s">
        <v>517</v>
      </c>
      <c r="C25" s="47">
        <v>24058</v>
      </c>
      <c r="D25"/>
      <c r="E25" s="128">
        <v>138.75</v>
      </c>
      <c r="F25" t="s">
        <v>242</v>
      </c>
      <c r="G25" s="130"/>
      <c r="H25" s="4"/>
      <c r="I25" s="1"/>
      <c r="J25" s="1"/>
      <c r="K25" s="1"/>
    </row>
    <row r="26" spans="1:11" x14ac:dyDescent="0.2">
      <c r="A26" s="212" t="s">
        <v>418</v>
      </c>
      <c r="B26" s="52" t="s">
        <v>517</v>
      </c>
      <c r="C26" s="47">
        <v>24070</v>
      </c>
      <c r="D26"/>
      <c r="E26" s="128">
        <v>3652.5</v>
      </c>
      <c r="F26" t="s">
        <v>242</v>
      </c>
      <c r="G26" s="130"/>
      <c r="H26" s="4"/>
      <c r="I26" s="1"/>
      <c r="J26" s="1"/>
      <c r="K26" s="1"/>
    </row>
    <row r="27" spans="1:11" x14ac:dyDescent="0.2">
      <c r="A27" s="212" t="s">
        <v>436</v>
      </c>
      <c r="B27" s="52" t="s">
        <v>517</v>
      </c>
      <c r="C27" s="47">
        <v>24114</v>
      </c>
      <c r="D27"/>
      <c r="E27" s="128">
        <v>5545</v>
      </c>
      <c r="F27" t="s">
        <v>242</v>
      </c>
      <c r="G27" s="130"/>
      <c r="H27" s="4"/>
      <c r="I27" s="1"/>
      <c r="J27" s="1"/>
      <c r="K27" s="1"/>
    </row>
    <row r="28" spans="1:11" x14ac:dyDescent="0.2">
      <c r="A28" s="212" t="s">
        <v>437</v>
      </c>
      <c r="B28" s="52" t="s">
        <v>517</v>
      </c>
      <c r="C28" s="47">
        <v>24118</v>
      </c>
      <c r="D28"/>
      <c r="E28" s="128">
        <v>323.75</v>
      </c>
      <c r="F28" t="s">
        <v>242</v>
      </c>
      <c r="G28" s="130"/>
      <c r="H28" s="4"/>
      <c r="I28" s="1"/>
      <c r="J28" s="1"/>
      <c r="K28" s="1"/>
    </row>
    <row r="29" spans="1:11" x14ac:dyDescent="0.2">
      <c r="A29" s="212" t="s">
        <v>438</v>
      </c>
      <c r="B29" s="52" t="s">
        <v>517</v>
      </c>
      <c r="C29" s="47">
        <v>24141</v>
      </c>
      <c r="D29"/>
      <c r="E29" s="128">
        <v>3527.5</v>
      </c>
      <c r="F29" t="s">
        <v>242</v>
      </c>
      <c r="G29" s="130"/>
      <c r="H29" s="4"/>
      <c r="I29" s="1"/>
      <c r="J29" s="1"/>
      <c r="K29" s="1"/>
    </row>
    <row r="30" spans="1:11" x14ac:dyDescent="0.2">
      <c r="A30" s="212" t="s">
        <v>471</v>
      </c>
      <c r="B30" s="52" t="s">
        <v>517</v>
      </c>
      <c r="C30" s="47">
        <v>25025</v>
      </c>
      <c r="D30"/>
      <c r="E30" s="128">
        <v>138.75</v>
      </c>
      <c r="F30" t="s">
        <v>242</v>
      </c>
      <c r="G30" s="130"/>
      <c r="H30" s="4"/>
      <c r="I30" s="1"/>
      <c r="J30" s="1"/>
      <c r="K30" s="1"/>
    </row>
    <row r="31" spans="1:11" x14ac:dyDescent="0.2">
      <c r="A31" s="212" t="s">
        <v>484</v>
      </c>
      <c r="B31" s="52" t="s">
        <v>517</v>
      </c>
      <c r="C31" s="47">
        <v>25072</v>
      </c>
      <c r="D31"/>
      <c r="E31" s="128">
        <v>2008.75</v>
      </c>
      <c r="F31" t="s">
        <v>242</v>
      </c>
      <c r="G31" s="130"/>
      <c r="H31" s="4"/>
      <c r="I31" s="1"/>
      <c r="J31" s="1"/>
      <c r="K31" s="1"/>
    </row>
    <row r="32" spans="1:11" x14ac:dyDescent="0.2">
      <c r="A32" s="131"/>
      <c r="B32" s="132"/>
      <c r="C32" s="132"/>
      <c r="D32" s="133" t="s">
        <v>10</v>
      </c>
      <c r="E32" s="134">
        <f>SUM(E4:E31)</f>
        <v>52158.75</v>
      </c>
      <c r="F32" s="135"/>
      <c r="G32" s="135"/>
      <c r="H32" s="16"/>
    </row>
    <row r="33" spans="1:8" x14ac:dyDescent="0.2">
      <c r="B33" s="136"/>
      <c r="F33" s="117"/>
      <c r="G33" s="4"/>
      <c r="H33" s="15"/>
    </row>
    <row r="34" spans="1:8" x14ac:dyDescent="0.2">
      <c r="A34" s="121" t="s">
        <v>156</v>
      </c>
      <c r="B34" s="121" t="s">
        <v>157</v>
      </c>
      <c r="C34" s="121" t="s">
        <v>158</v>
      </c>
      <c r="D34" s="121" t="s">
        <v>159</v>
      </c>
      <c r="E34" s="122" t="s">
        <v>160</v>
      </c>
      <c r="F34" s="123" t="s">
        <v>238</v>
      </c>
      <c r="G34" s="124"/>
      <c r="H34" s="23"/>
    </row>
    <row r="35" spans="1:8" x14ac:dyDescent="0.2">
      <c r="A35" s="125"/>
      <c r="B35"/>
      <c r="C35"/>
      <c r="D35"/>
      <c r="E35"/>
      <c r="F35"/>
      <c r="G35"/>
    </row>
    <row r="36" spans="1:8" x14ac:dyDescent="0.2">
      <c r="A36" s="126" t="s">
        <v>163</v>
      </c>
      <c r="B36" s="52" t="s">
        <v>513</v>
      </c>
      <c r="C36" s="130" t="s">
        <v>190</v>
      </c>
      <c r="D36" s="127"/>
      <c r="E36" s="128">
        <v>4430</v>
      </c>
      <c r="F36" t="s">
        <v>242</v>
      </c>
      <c r="G36" s="129"/>
    </row>
    <row r="37" spans="1:8" x14ac:dyDescent="0.2">
      <c r="A37" s="131"/>
      <c r="B37" s="52"/>
      <c r="C37" s="129"/>
      <c r="D37" s="127"/>
      <c r="E37" s="128"/>
      <c r="F37"/>
      <c r="G37" s="129"/>
      <c r="H37" s="15"/>
    </row>
    <row r="38" spans="1:8" x14ac:dyDescent="0.2">
      <c r="A38" s="131"/>
      <c r="B38" s="132"/>
      <c r="C38" s="132"/>
      <c r="D38" s="133" t="s">
        <v>10</v>
      </c>
      <c r="E38" s="134">
        <f>SUM(E36:E37)</f>
        <v>4430</v>
      </c>
      <c r="F38" s="135"/>
      <c r="G38" s="135"/>
    </row>
    <row r="39" spans="1:8" x14ac:dyDescent="0.2">
      <c r="A39" s="131"/>
      <c r="B39"/>
      <c r="C39"/>
      <c r="D39" s="125"/>
      <c r="E39" s="148"/>
      <c r="F39" s="129"/>
      <c r="G39" s="129"/>
    </row>
    <row r="40" spans="1:8" x14ac:dyDescent="0.2">
      <c r="A40" s="121" t="s">
        <v>156</v>
      </c>
      <c r="B40" s="121" t="s">
        <v>157</v>
      </c>
      <c r="C40" s="121" t="s">
        <v>158</v>
      </c>
      <c r="D40" s="121" t="s">
        <v>159</v>
      </c>
      <c r="E40" s="122" t="s">
        <v>160</v>
      </c>
      <c r="F40" s="123" t="s">
        <v>238</v>
      </c>
      <c r="G40" s="124"/>
      <c r="H40" s="23"/>
    </row>
    <row r="41" spans="1:8" x14ac:dyDescent="0.2">
      <c r="A41" s="125"/>
      <c r="B41"/>
      <c r="C41"/>
      <c r="D41"/>
      <c r="E41"/>
      <c r="F41"/>
      <c r="G41"/>
    </row>
    <row r="42" spans="1:8" x14ac:dyDescent="0.2">
      <c r="A42" s="126" t="s">
        <v>191</v>
      </c>
      <c r="B42" s="52" t="s">
        <v>516</v>
      </c>
      <c r="C42" s="129">
        <v>49122</v>
      </c>
      <c r="D42" s="127"/>
      <c r="E42" s="128">
        <v>811.25</v>
      </c>
      <c r="F42" t="s">
        <v>242</v>
      </c>
      <c r="G42" s="129"/>
    </row>
    <row r="43" spans="1:8" x14ac:dyDescent="0.2">
      <c r="A43" s="126" t="s">
        <v>192</v>
      </c>
      <c r="B43" s="52" t="s">
        <v>516</v>
      </c>
      <c r="C43" s="129">
        <v>48723</v>
      </c>
      <c r="D43" s="127"/>
      <c r="E43" s="128">
        <v>1540</v>
      </c>
      <c r="F43" t="s">
        <v>242</v>
      </c>
      <c r="G43" s="129"/>
    </row>
    <row r="44" spans="1:8" x14ac:dyDescent="0.2">
      <c r="A44" s="126" t="s">
        <v>193</v>
      </c>
      <c r="B44" s="52" t="s">
        <v>516</v>
      </c>
      <c r="C44" s="129">
        <v>49121</v>
      </c>
      <c r="D44" s="127"/>
      <c r="E44" s="128">
        <v>5850</v>
      </c>
      <c r="F44" t="s">
        <v>242</v>
      </c>
      <c r="G44" s="129"/>
    </row>
    <row r="45" spans="1:8" x14ac:dyDescent="0.2">
      <c r="A45" s="126" t="s">
        <v>194</v>
      </c>
      <c r="B45" s="52" t="s">
        <v>516</v>
      </c>
      <c r="C45" s="129">
        <v>48401</v>
      </c>
      <c r="D45" s="127"/>
      <c r="E45" s="128">
        <v>387.5</v>
      </c>
      <c r="F45" t="s">
        <v>242</v>
      </c>
      <c r="G45" s="129"/>
    </row>
    <row r="46" spans="1:8" x14ac:dyDescent="0.2">
      <c r="A46" s="126" t="s">
        <v>161</v>
      </c>
      <c r="B46" s="52" t="s">
        <v>516</v>
      </c>
      <c r="C46" s="129">
        <v>49821</v>
      </c>
      <c r="D46" s="127"/>
      <c r="E46" s="128">
        <v>1333</v>
      </c>
      <c r="F46" t="s">
        <v>242</v>
      </c>
      <c r="G46" s="129"/>
    </row>
    <row r="47" spans="1:8" x14ac:dyDescent="0.2">
      <c r="A47" s="126" t="s">
        <v>162</v>
      </c>
      <c r="B47" s="52" t="s">
        <v>516</v>
      </c>
      <c r="C47" s="129">
        <v>49431</v>
      </c>
      <c r="D47" s="127"/>
      <c r="E47" s="128">
        <v>745</v>
      </c>
      <c r="F47" t="s">
        <v>242</v>
      </c>
      <c r="G47" s="129"/>
    </row>
    <row r="48" spans="1:8" x14ac:dyDescent="0.2">
      <c r="A48" s="126" t="s">
        <v>194</v>
      </c>
      <c r="B48" s="52" t="s">
        <v>516</v>
      </c>
      <c r="C48" s="129">
        <v>48400</v>
      </c>
      <c r="D48" s="127"/>
      <c r="E48" s="128">
        <v>1950</v>
      </c>
      <c r="F48" t="s">
        <v>242</v>
      </c>
      <c r="G48" s="129"/>
    </row>
    <row r="49" spans="1:8" x14ac:dyDescent="0.2">
      <c r="A49" s="126" t="s">
        <v>195</v>
      </c>
      <c r="B49" s="52" t="s">
        <v>516</v>
      </c>
      <c r="C49" s="129">
        <v>50267</v>
      </c>
      <c r="D49" s="127"/>
      <c r="E49" s="128">
        <v>1138.75</v>
      </c>
      <c r="F49" t="s">
        <v>242</v>
      </c>
      <c r="G49" s="129"/>
    </row>
    <row r="50" spans="1:8" x14ac:dyDescent="0.2">
      <c r="A50" s="126" t="s">
        <v>196</v>
      </c>
      <c r="B50" s="52" t="s">
        <v>516</v>
      </c>
      <c r="C50" s="129">
        <v>51021</v>
      </c>
      <c r="D50" s="127"/>
      <c r="E50" s="128">
        <v>3337.5</v>
      </c>
      <c r="F50" t="s">
        <v>242</v>
      </c>
      <c r="G50" s="129"/>
    </row>
    <row r="51" spans="1:8" x14ac:dyDescent="0.2">
      <c r="A51" s="126" t="s">
        <v>197</v>
      </c>
      <c r="B51" s="52" t="s">
        <v>516</v>
      </c>
      <c r="C51" s="129">
        <v>53333</v>
      </c>
      <c r="D51" s="127"/>
      <c r="E51" s="128">
        <v>33.75</v>
      </c>
      <c r="F51" t="s">
        <v>242</v>
      </c>
      <c r="G51" s="129"/>
    </row>
    <row r="52" spans="1:8" x14ac:dyDescent="0.2">
      <c r="A52" s="126" t="s">
        <v>210</v>
      </c>
      <c r="B52" s="52" t="s">
        <v>516</v>
      </c>
      <c r="C52" s="129">
        <v>54149</v>
      </c>
      <c r="D52" s="127"/>
      <c r="E52" s="128">
        <v>165</v>
      </c>
      <c r="F52" t="s">
        <v>242</v>
      </c>
      <c r="G52" s="129"/>
    </row>
    <row r="53" spans="1:8" x14ac:dyDescent="0.2">
      <c r="A53" s="126" t="s">
        <v>228</v>
      </c>
      <c r="B53" s="52" t="s">
        <v>516</v>
      </c>
      <c r="C53" s="129">
        <v>55012</v>
      </c>
      <c r="D53" s="127"/>
      <c r="E53" s="128">
        <v>165</v>
      </c>
      <c r="F53" t="s">
        <v>242</v>
      </c>
      <c r="G53" s="129"/>
    </row>
    <row r="54" spans="1:8" x14ac:dyDescent="0.2">
      <c r="A54" s="126" t="s">
        <v>282</v>
      </c>
      <c r="B54" s="52" t="s">
        <v>516</v>
      </c>
      <c r="C54" s="129">
        <v>55876</v>
      </c>
      <c r="D54" s="127"/>
      <c r="E54" s="128">
        <v>12060</v>
      </c>
      <c r="F54" t="s">
        <v>242</v>
      </c>
      <c r="G54" s="129"/>
    </row>
    <row r="55" spans="1:8" x14ac:dyDescent="0.2">
      <c r="A55" s="126" t="s">
        <v>363</v>
      </c>
      <c r="B55" s="52" t="s">
        <v>516</v>
      </c>
      <c r="C55" s="129">
        <v>60729</v>
      </c>
      <c r="D55" s="127"/>
      <c r="E55" s="128">
        <v>1050</v>
      </c>
      <c r="F55" t="s">
        <v>242</v>
      </c>
      <c r="G55" s="129"/>
      <c r="H55" s="15"/>
    </row>
    <row r="56" spans="1:8" x14ac:dyDescent="0.2">
      <c r="A56" s="212" t="s">
        <v>398</v>
      </c>
      <c r="B56" s="52" t="s">
        <v>516</v>
      </c>
      <c r="C56" s="129">
        <v>62644</v>
      </c>
      <c r="D56" s="127"/>
      <c r="E56" s="128">
        <v>1950</v>
      </c>
      <c r="F56" t="s">
        <v>242</v>
      </c>
      <c r="G56" s="129"/>
      <c r="H56" s="15"/>
    </row>
    <row r="57" spans="1:8" x14ac:dyDescent="0.2">
      <c r="A57" s="212" t="s">
        <v>414</v>
      </c>
      <c r="B57" s="52" t="s">
        <v>516</v>
      </c>
      <c r="C57" s="129">
        <v>63768</v>
      </c>
      <c r="D57" s="127"/>
      <c r="E57" s="128">
        <v>9000</v>
      </c>
      <c r="F57" t="s">
        <v>242</v>
      </c>
      <c r="G57" s="129"/>
      <c r="H57" s="15"/>
    </row>
    <row r="58" spans="1:8" x14ac:dyDescent="0.2">
      <c r="A58" s="212" t="s">
        <v>435</v>
      </c>
      <c r="B58" s="52" t="s">
        <v>516</v>
      </c>
      <c r="C58" s="129">
        <v>64652</v>
      </c>
      <c r="D58" s="127"/>
      <c r="E58" s="128">
        <v>832.5</v>
      </c>
      <c r="F58" t="s">
        <v>242</v>
      </c>
      <c r="G58" s="129"/>
      <c r="H58" s="15"/>
    </row>
    <row r="59" spans="1:8" x14ac:dyDescent="0.2">
      <c r="A59" s="212" t="s">
        <v>472</v>
      </c>
      <c r="B59" s="52" t="s">
        <v>516</v>
      </c>
      <c r="C59" s="129">
        <v>66809</v>
      </c>
      <c r="D59" s="127"/>
      <c r="E59" s="128">
        <v>2986.25</v>
      </c>
      <c r="F59" t="s">
        <v>242</v>
      </c>
      <c r="G59" s="129"/>
      <c r="H59" s="15"/>
    </row>
    <row r="60" spans="1:8" x14ac:dyDescent="0.2">
      <c r="A60" s="131"/>
      <c r="B60" s="132"/>
      <c r="C60" s="132"/>
      <c r="D60" s="133" t="s">
        <v>10</v>
      </c>
      <c r="E60" s="134">
        <f>SUM(E42:E59)</f>
        <v>45335.5</v>
      </c>
      <c r="F60" s="135"/>
      <c r="G60" s="135"/>
    </row>
    <row r="61" spans="1:8" x14ac:dyDescent="0.2">
      <c r="A61" s="131"/>
      <c r="B61" s="52"/>
      <c r="C61" s="10"/>
      <c r="D61" s="127"/>
      <c r="E61" s="137"/>
      <c r="F61"/>
      <c r="G61" s="130"/>
    </row>
    <row r="62" spans="1:8" x14ac:dyDescent="0.2">
      <c r="A62" s="121" t="s">
        <v>156</v>
      </c>
      <c r="B62" s="121" t="s">
        <v>157</v>
      </c>
      <c r="C62" s="121" t="s">
        <v>158</v>
      </c>
      <c r="D62" s="121" t="s">
        <v>159</v>
      </c>
      <c r="E62" s="122" t="s">
        <v>160</v>
      </c>
      <c r="F62" s="123" t="s">
        <v>238</v>
      </c>
      <c r="G62" s="124"/>
    </row>
    <row r="63" spans="1:8" x14ac:dyDescent="0.2">
      <c r="A63" s="125"/>
      <c r="B63"/>
      <c r="C63"/>
      <c r="D63"/>
      <c r="E63"/>
      <c r="F63"/>
      <c r="G63"/>
    </row>
    <row r="64" spans="1:8" x14ac:dyDescent="0.2">
      <c r="A64" s="126" t="s">
        <v>170</v>
      </c>
      <c r="B64" s="52" t="s">
        <v>519</v>
      </c>
      <c r="C64" s="129">
        <v>82</v>
      </c>
      <c r="D64" s="127"/>
      <c r="E64" s="128">
        <v>15100</v>
      </c>
      <c r="F64" t="s">
        <v>242</v>
      </c>
      <c r="G64" s="129"/>
    </row>
    <row r="65" spans="1:7" x14ac:dyDescent="0.2">
      <c r="A65" s="126" t="s">
        <v>171</v>
      </c>
      <c r="B65" s="52" t="s">
        <v>519</v>
      </c>
      <c r="C65" s="129">
        <v>80</v>
      </c>
      <c r="D65" s="127"/>
      <c r="E65" s="128">
        <v>23211.25</v>
      </c>
      <c r="F65" t="s">
        <v>242</v>
      </c>
      <c r="G65" s="129"/>
    </row>
    <row r="66" spans="1:7" x14ac:dyDescent="0.2">
      <c r="A66" s="126" t="s">
        <v>172</v>
      </c>
      <c r="B66" s="52" t="s">
        <v>519</v>
      </c>
      <c r="C66" s="129">
        <v>75</v>
      </c>
      <c r="D66" s="127"/>
      <c r="E66" s="128">
        <v>19315</v>
      </c>
      <c r="F66" t="s">
        <v>242</v>
      </c>
      <c r="G66" s="129"/>
    </row>
    <row r="67" spans="1:7" x14ac:dyDescent="0.2">
      <c r="A67" s="126" t="s">
        <v>165</v>
      </c>
      <c r="B67" s="52" t="s">
        <v>519</v>
      </c>
      <c r="C67" s="129">
        <v>70</v>
      </c>
      <c r="D67" s="127"/>
      <c r="E67" s="128">
        <v>16812.5</v>
      </c>
      <c r="F67" t="s">
        <v>242</v>
      </c>
      <c r="G67" s="130"/>
    </row>
    <row r="68" spans="1:7" x14ac:dyDescent="0.2">
      <c r="A68" s="126" t="s">
        <v>173</v>
      </c>
      <c r="B68" s="52" t="s">
        <v>519</v>
      </c>
      <c r="C68" s="129">
        <v>89</v>
      </c>
      <c r="D68" s="127"/>
      <c r="E68" s="128">
        <v>2282.5</v>
      </c>
      <c r="F68" t="s">
        <v>242</v>
      </c>
      <c r="G68" s="130"/>
    </row>
    <row r="69" spans="1:7" x14ac:dyDescent="0.2">
      <c r="A69" s="126"/>
      <c r="B69" s="52"/>
      <c r="C69" s="129"/>
      <c r="D69" s="127"/>
      <c r="E69" s="128"/>
      <c r="F69"/>
      <c r="G69" s="130"/>
    </row>
    <row r="70" spans="1:7" x14ac:dyDescent="0.2">
      <c r="A70" s="131"/>
      <c r="B70" s="132"/>
      <c r="C70" s="132"/>
      <c r="D70" s="133" t="s">
        <v>10</v>
      </c>
      <c r="E70" s="134">
        <f>SUM(E64:E69)</f>
        <v>76721.25</v>
      </c>
      <c r="F70" s="135"/>
      <c r="G70" s="135"/>
    </row>
    <row r="71" spans="1:7" x14ac:dyDescent="0.2">
      <c r="A71" s="131"/>
      <c r="B71"/>
      <c r="C71"/>
      <c r="D71" s="125"/>
      <c r="E71" s="148"/>
      <c r="F71" s="129"/>
      <c r="G71" s="129"/>
    </row>
    <row r="72" spans="1:7" x14ac:dyDescent="0.2">
      <c r="A72" s="121" t="s">
        <v>156</v>
      </c>
      <c r="B72" s="121" t="s">
        <v>157</v>
      </c>
      <c r="C72" s="121" t="s">
        <v>158</v>
      </c>
      <c r="D72" s="121" t="s">
        <v>159</v>
      </c>
      <c r="E72" s="122" t="s">
        <v>160</v>
      </c>
      <c r="F72" s="123" t="s">
        <v>238</v>
      </c>
      <c r="G72" s="124"/>
    </row>
    <row r="73" spans="1:7" x14ac:dyDescent="0.2">
      <c r="A73" s="125"/>
      <c r="B73"/>
      <c r="C73"/>
      <c r="D73"/>
      <c r="E73"/>
      <c r="F73"/>
      <c r="G73"/>
    </row>
    <row r="74" spans="1:7" x14ac:dyDescent="0.2">
      <c r="A74" s="126" t="s">
        <v>167</v>
      </c>
      <c r="B74" s="52" t="s">
        <v>518</v>
      </c>
      <c r="C74" s="129">
        <v>598424</v>
      </c>
      <c r="D74" s="127"/>
      <c r="E74" s="128">
        <v>6480</v>
      </c>
      <c r="F74" t="s">
        <v>242</v>
      </c>
      <c r="G74" s="129"/>
    </row>
    <row r="75" spans="1:7" x14ac:dyDescent="0.2">
      <c r="A75" s="126" t="s">
        <v>174</v>
      </c>
      <c r="B75" s="52" t="s">
        <v>518</v>
      </c>
      <c r="C75" s="129">
        <v>636840</v>
      </c>
      <c r="D75" s="127"/>
      <c r="E75" s="128">
        <v>2380</v>
      </c>
      <c r="F75" t="s">
        <v>242</v>
      </c>
      <c r="G75" s="129"/>
    </row>
    <row r="76" spans="1:7" x14ac:dyDescent="0.2">
      <c r="A76" s="126" t="s">
        <v>175</v>
      </c>
      <c r="B76" s="52" t="s">
        <v>518</v>
      </c>
      <c r="C76" s="129">
        <v>612631</v>
      </c>
      <c r="D76" s="127"/>
      <c r="E76" s="128">
        <v>6105</v>
      </c>
      <c r="F76" t="s">
        <v>242</v>
      </c>
      <c r="G76" s="129"/>
    </row>
    <row r="77" spans="1:7" x14ac:dyDescent="0.2">
      <c r="A77" s="126" t="s">
        <v>176</v>
      </c>
      <c r="B77" s="52" t="s">
        <v>518</v>
      </c>
      <c r="C77" s="129">
        <v>618856</v>
      </c>
      <c r="D77" s="127"/>
      <c r="E77" s="128">
        <v>885</v>
      </c>
      <c r="F77" t="s">
        <v>242</v>
      </c>
      <c r="G77" s="130"/>
    </row>
    <row r="78" spans="1:7" x14ac:dyDescent="0.2">
      <c r="A78" s="126" t="s">
        <v>177</v>
      </c>
      <c r="B78" s="52" t="s">
        <v>518</v>
      </c>
      <c r="C78" s="129">
        <v>608406</v>
      </c>
      <c r="D78" s="127"/>
      <c r="E78" s="128">
        <v>4230</v>
      </c>
      <c r="F78" t="s">
        <v>242</v>
      </c>
      <c r="G78" s="130"/>
    </row>
    <row r="79" spans="1:7" x14ac:dyDescent="0.2">
      <c r="A79" s="126"/>
      <c r="B79" s="52"/>
      <c r="C79" s="129"/>
      <c r="D79" s="127"/>
      <c r="E79" s="128"/>
      <c r="F79"/>
      <c r="G79" s="130"/>
    </row>
    <row r="80" spans="1:7" x14ac:dyDescent="0.2">
      <c r="A80" s="131"/>
      <c r="B80" s="132"/>
      <c r="C80" s="132"/>
      <c r="D80" s="133" t="s">
        <v>10</v>
      </c>
      <c r="E80" s="134">
        <f>SUM(E74:E79)</f>
        <v>20080</v>
      </c>
      <c r="F80" s="135"/>
      <c r="G80" s="135"/>
    </row>
    <row r="81" spans="1:7" x14ac:dyDescent="0.2">
      <c r="A81" s="131"/>
      <c r="B81" s="52"/>
      <c r="C81" s="10"/>
      <c r="D81" s="127"/>
      <c r="E81" s="137"/>
      <c r="F81"/>
      <c r="G81" s="129"/>
    </row>
    <row r="82" spans="1:7" x14ac:dyDescent="0.2">
      <c r="A82" s="121" t="s">
        <v>156</v>
      </c>
      <c r="B82" s="121" t="s">
        <v>157</v>
      </c>
      <c r="C82" s="121" t="s">
        <v>158</v>
      </c>
      <c r="D82" s="121" t="s">
        <v>159</v>
      </c>
      <c r="E82" s="122" t="s">
        <v>160</v>
      </c>
      <c r="F82" s="123" t="s">
        <v>238</v>
      </c>
      <c r="G82" s="124"/>
    </row>
    <row r="83" spans="1:7" x14ac:dyDescent="0.2">
      <c r="A83" s="125"/>
      <c r="B83"/>
      <c r="C83"/>
      <c r="D83"/>
      <c r="E83"/>
      <c r="F83"/>
      <c r="G83"/>
    </row>
    <row r="84" spans="1:7" x14ac:dyDescent="0.2">
      <c r="A84" s="126" t="s">
        <v>178</v>
      </c>
      <c r="B84" s="52" t="s">
        <v>514</v>
      </c>
      <c r="C84" s="149">
        <v>956725</v>
      </c>
      <c r="D84" s="127"/>
      <c r="E84" s="150">
        <v>1445</v>
      </c>
      <c r="F84" t="s">
        <v>242</v>
      </c>
      <c r="G84" s="129"/>
    </row>
    <row r="85" spans="1:7" x14ac:dyDescent="0.2">
      <c r="A85" s="126" t="s">
        <v>179</v>
      </c>
      <c r="B85" s="52" t="s">
        <v>514</v>
      </c>
      <c r="C85" s="149">
        <v>962677</v>
      </c>
      <c r="D85" s="127"/>
      <c r="E85" s="150">
        <v>7855</v>
      </c>
      <c r="F85" t="s">
        <v>242</v>
      </c>
      <c r="G85" s="129"/>
    </row>
    <row r="86" spans="1:7" x14ac:dyDescent="0.2">
      <c r="A86" s="126" t="s">
        <v>179</v>
      </c>
      <c r="B86" s="52" t="s">
        <v>514</v>
      </c>
      <c r="C86" s="149">
        <v>962664</v>
      </c>
      <c r="D86" s="127"/>
      <c r="E86" s="150">
        <v>14775</v>
      </c>
      <c r="F86" t="s">
        <v>242</v>
      </c>
      <c r="G86" s="129"/>
    </row>
    <row r="87" spans="1:7" x14ac:dyDescent="0.2">
      <c r="A87" s="126" t="s">
        <v>178</v>
      </c>
      <c r="B87" s="52" t="s">
        <v>514</v>
      </c>
      <c r="C87" s="149">
        <v>956719</v>
      </c>
      <c r="D87" s="127"/>
      <c r="E87" s="150">
        <v>1760</v>
      </c>
      <c r="F87" t="s">
        <v>242</v>
      </c>
      <c r="G87" s="129"/>
    </row>
    <row r="88" spans="1:7" x14ac:dyDescent="0.2">
      <c r="A88" s="126" t="s">
        <v>179</v>
      </c>
      <c r="B88" s="52" t="s">
        <v>514</v>
      </c>
      <c r="C88" s="149">
        <v>962665</v>
      </c>
      <c r="D88" s="127"/>
      <c r="E88" s="150">
        <v>8160</v>
      </c>
      <c r="F88" t="s">
        <v>242</v>
      </c>
      <c r="G88" s="129"/>
    </row>
    <row r="89" spans="1:7" x14ac:dyDescent="0.2">
      <c r="A89" s="126" t="s">
        <v>178</v>
      </c>
      <c r="B89" s="52" t="s">
        <v>514</v>
      </c>
      <c r="C89" s="149">
        <v>956709</v>
      </c>
      <c r="D89" s="127"/>
      <c r="E89" s="150">
        <v>5100</v>
      </c>
      <c r="F89" t="s">
        <v>242</v>
      </c>
      <c r="G89" s="129"/>
    </row>
    <row r="90" spans="1:7" x14ac:dyDescent="0.2">
      <c r="A90" s="126" t="s">
        <v>179</v>
      </c>
      <c r="B90" s="52" t="s">
        <v>514</v>
      </c>
      <c r="C90" s="136">
        <v>962674</v>
      </c>
      <c r="D90" s="127"/>
      <c r="E90" s="150">
        <v>8790</v>
      </c>
      <c r="F90" t="s">
        <v>242</v>
      </c>
      <c r="G90" s="129"/>
    </row>
    <row r="91" spans="1:7" x14ac:dyDescent="0.2">
      <c r="A91" s="126" t="s">
        <v>178</v>
      </c>
      <c r="B91" s="52" t="s">
        <v>514</v>
      </c>
      <c r="C91" s="149">
        <v>956717</v>
      </c>
      <c r="D91" s="127"/>
      <c r="E91" s="150">
        <v>2390</v>
      </c>
      <c r="F91" t="s">
        <v>242</v>
      </c>
      <c r="G91" s="129"/>
    </row>
    <row r="92" spans="1:7" x14ac:dyDescent="0.2">
      <c r="A92" s="126" t="s">
        <v>91</v>
      </c>
      <c r="B92" s="52" t="s">
        <v>514</v>
      </c>
      <c r="C92" s="149">
        <v>974769</v>
      </c>
      <c r="D92" s="127"/>
      <c r="E92" s="150">
        <v>5400</v>
      </c>
      <c r="F92" t="s">
        <v>242</v>
      </c>
      <c r="G92" s="129"/>
    </row>
    <row r="93" spans="1:7" x14ac:dyDescent="0.2">
      <c r="A93" s="126" t="s">
        <v>91</v>
      </c>
      <c r="B93" s="52" t="s">
        <v>514</v>
      </c>
      <c r="C93" s="149">
        <v>974713</v>
      </c>
      <c r="D93" s="127"/>
      <c r="E93" s="150">
        <v>6900</v>
      </c>
      <c r="F93" t="s">
        <v>242</v>
      </c>
      <c r="G93" s="129"/>
    </row>
    <row r="94" spans="1:7" x14ac:dyDescent="0.2">
      <c r="A94" s="126" t="s">
        <v>91</v>
      </c>
      <c r="B94" s="52" t="s">
        <v>514</v>
      </c>
      <c r="C94" s="136">
        <v>974723</v>
      </c>
      <c r="D94" s="127"/>
      <c r="E94" s="150">
        <v>7200</v>
      </c>
      <c r="F94" t="s">
        <v>242</v>
      </c>
      <c r="G94" s="129"/>
    </row>
    <row r="95" spans="1:7" x14ac:dyDescent="0.2">
      <c r="A95" s="126" t="s">
        <v>91</v>
      </c>
      <c r="B95" s="52" t="s">
        <v>514</v>
      </c>
      <c r="C95" s="136">
        <v>974760</v>
      </c>
      <c r="D95" s="127"/>
      <c r="E95" s="150">
        <v>3600</v>
      </c>
      <c r="F95" t="s">
        <v>242</v>
      </c>
      <c r="G95" s="129"/>
    </row>
    <row r="96" spans="1:7" x14ac:dyDescent="0.2">
      <c r="A96" s="126" t="s">
        <v>180</v>
      </c>
      <c r="B96" s="52" t="s">
        <v>514</v>
      </c>
      <c r="C96" s="136">
        <v>983735</v>
      </c>
      <c r="D96" s="127"/>
      <c r="E96" s="150">
        <v>8625</v>
      </c>
      <c r="F96" t="s">
        <v>242</v>
      </c>
      <c r="G96" s="129"/>
    </row>
    <row r="97" spans="1:7" x14ac:dyDescent="0.2">
      <c r="A97" s="126" t="s">
        <v>180</v>
      </c>
      <c r="B97" s="52" t="s">
        <v>514</v>
      </c>
      <c r="C97" s="136">
        <v>983755</v>
      </c>
      <c r="D97" s="127"/>
      <c r="E97" s="150">
        <v>1800</v>
      </c>
      <c r="F97" t="s">
        <v>242</v>
      </c>
      <c r="G97" s="129"/>
    </row>
    <row r="98" spans="1:7" x14ac:dyDescent="0.2">
      <c r="A98" s="126" t="s">
        <v>180</v>
      </c>
      <c r="B98" s="52" t="s">
        <v>514</v>
      </c>
      <c r="C98" s="136">
        <v>983746</v>
      </c>
      <c r="D98" s="127"/>
      <c r="E98" s="150">
        <v>1800</v>
      </c>
      <c r="F98" t="s">
        <v>242</v>
      </c>
      <c r="G98" s="129"/>
    </row>
    <row r="99" spans="1:7" x14ac:dyDescent="0.2">
      <c r="A99" s="126" t="s">
        <v>180</v>
      </c>
      <c r="B99" s="52" t="s">
        <v>514</v>
      </c>
      <c r="C99" s="136">
        <v>983741</v>
      </c>
      <c r="D99" s="127"/>
      <c r="E99" s="150">
        <v>1800</v>
      </c>
      <c r="F99" t="s">
        <v>242</v>
      </c>
      <c r="G99" s="129"/>
    </row>
    <row r="100" spans="1:7" x14ac:dyDescent="0.2">
      <c r="A100" s="126" t="s">
        <v>164</v>
      </c>
      <c r="B100" s="52" t="s">
        <v>514</v>
      </c>
      <c r="C100" s="136">
        <v>989542</v>
      </c>
      <c r="D100" s="127"/>
      <c r="E100" s="150">
        <v>3600</v>
      </c>
      <c r="F100" t="s">
        <v>242</v>
      </c>
      <c r="G100" s="129"/>
    </row>
    <row r="101" spans="1:7" x14ac:dyDescent="0.2">
      <c r="A101" s="126" t="s">
        <v>181</v>
      </c>
      <c r="B101" s="52" t="s">
        <v>514</v>
      </c>
      <c r="C101" s="136">
        <v>991927</v>
      </c>
      <c r="D101" s="127"/>
      <c r="E101" s="150">
        <v>2700</v>
      </c>
      <c r="F101" t="s">
        <v>242</v>
      </c>
      <c r="G101" s="129"/>
    </row>
    <row r="102" spans="1:7" x14ac:dyDescent="0.2">
      <c r="A102" s="126" t="s">
        <v>164</v>
      </c>
      <c r="B102" s="52" t="s">
        <v>514</v>
      </c>
      <c r="C102" s="136">
        <v>989541</v>
      </c>
      <c r="D102" s="127"/>
      <c r="E102" s="150">
        <v>1725</v>
      </c>
      <c r="F102" t="s">
        <v>242</v>
      </c>
      <c r="G102" s="129"/>
    </row>
    <row r="103" spans="1:7" x14ac:dyDescent="0.2">
      <c r="A103" s="126" t="s">
        <v>182</v>
      </c>
      <c r="B103" s="52" t="s">
        <v>514</v>
      </c>
      <c r="C103" s="136">
        <v>998261</v>
      </c>
      <c r="D103" s="127"/>
      <c r="E103" s="150">
        <v>2700</v>
      </c>
      <c r="F103" t="s">
        <v>242</v>
      </c>
      <c r="G103" s="129"/>
    </row>
    <row r="104" spans="1:7" x14ac:dyDescent="0.2">
      <c r="A104" s="126" t="s">
        <v>182</v>
      </c>
      <c r="B104" s="52" t="s">
        <v>514</v>
      </c>
      <c r="C104" s="136">
        <v>998252</v>
      </c>
      <c r="D104" s="127"/>
      <c r="E104" s="150">
        <v>1800</v>
      </c>
      <c r="F104" t="s">
        <v>242</v>
      </c>
      <c r="G104" s="129"/>
    </row>
    <row r="105" spans="1:7" x14ac:dyDescent="0.2">
      <c r="A105" s="126" t="s">
        <v>183</v>
      </c>
      <c r="B105" s="52" t="s">
        <v>514</v>
      </c>
      <c r="C105" s="136">
        <v>1033204</v>
      </c>
      <c r="D105" s="127"/>
      <c r="E105" s="150">
        <v>1800</v>
      </c>
      <c r="F105" t="s">
        <v>242</v>
      </c>
      <c r="G105" s="129"/>
    </row>
    <row r="106" spans="1:7" x14ac:dyDescent="0.2">
      <c r="A106" s="126" t="s">
        <v>184</v>
      </c>
      <c r="B106" s="52" t="s">
        <v>514</v>
      </c>
      <c r="C106" s="136">
        <v>1033803</v>
      </c>
      <c r="D106" s="136"/>
      <c r="E106" s="150">
        <v>4506.25</v>
      </c>
      <c r="F106" t="s">
        <v>242</v>
      </c>
      <c r="G106" s="129"/>
    </row>
    <row r="107" spans="1:7" x14ac:dyDescent="0.2">
      <c r="A107" s="126" t="s">
        <v>183</v>
      </c>
      <c r="B107" s="52" t="s">
        <v>514</v>
      </c>
      <c r="C107" s="136">
        <v>1033207</v>
      </c>
      <c r="D107" s="127"/>
      <c r="E107" s="150">
        <v>1800</v>
      </c>
      <c r="F107" t="s">
        <v>242</v>
      </c>
      <c r="G107" s="129"/>
    </row>
    <row r="108" spans="1:7" x14ac:dyDescent="0.2">
      <c r="A108" s="126" t="s">
        <v>185</v>
      </c>
      <c r="B108" s="52" t="s">
        <v>514</v>
      </c>
      <c r="C108" s="136">
        <v>1048149</v>
      </c>
      <c r="D108" s="127"/>
      <c r="E108" s="150">
        <v>1380</v>
      </c>
      <c r="F108" t="s">
        <v>242</v>
      </c>
      <c r="G108" s="129"/>
    </row>
    <row r="109" spans="1:7" x14ac:dyDescent="0.2">
      <c r="A109" s="126" t="s">
        <v>186</v>
      </c>
      <c r="B109" s="52" t="s">
        <v>514</v>
      </c>
      <c r="C109" s="136">
        <v>1041074</v>
      </c>
      <c r="D109" s="127"/>
      <c r="E109" s="150">
        <v>2112.5</v>
      </c>
      <c r="F109" t="s">
        <v>242</v>
      </c>
      <c r="G109" s="130"/>
    </row>
    <row r="110" spans="1:7" x14ac:dyDescent="0.2">
      <c r="A110" s="126" t="s">
        <v>187</v>
      </c>
      <c r="B110" s="52" t="s">
        <v>514</v>
      </c>
      <c r="C110" s="136">
        <v>1067086</v>
      </c>
      <c r="D110" s="127"/>
      <c r="E110" s="150">
        <v>1380</v>
      </c>
      <c r="F110" t="s">
        <v>242</v>
      </c>
      <c r="G110" s="130"/>
    </row>
    <row r="111" spans="1:7" x14ac:dyDescent="0.2">
      <c r="A111" s="126" t="s">
        <v>188</v>
      </c>
      <c r="B111" s="52" t="s">
        <v>514</v>
      </c>
      <c r="C111" s="136">
        <v>1057290</v>
      </c>
      <c r="D111" s="127"/>
      <c r="E111" s="150">
        <v>2112.5</v>
      </c>
      <c r="F111" t="s">
        <v>242</v>
      </c>
      <c r="G111" s="130"/>
    </row>
    <row r="112" spans="1:7" x14ac:dyDescent="0.2">
      <c r="A112" s="126" t="s">
        <v>188</v>
      </c>
      <c r="B112" s="52" t="s">
        <v>514</v>
      </c>
      <c r="C112" s="136">
        <v>1057287</v>
      </c>
      <c r="D112" s="127"/>
      <c r="E112" s="150">
        <v>690</v>
      </c>
      <c r="F112" t="s">
        <v>242</v>
      </c>
      <c r="G112" s="130"/>
    </row>
    <row r="113" spans="1:7" x14ac:dyDescent="0.2">
      <c r="A113" s="126" t="s">
        <v>189</v>
      </c>
      <c r="B113" s="52" t="s">
        <v>514</v>
      </c>
      <c r="C113" s="136">
        <v>969189</v>
      </c>
      <c r="D113" s="127"/>
      <c r="E113" s="150">
        <v>6650</v>
      </c>
      <c r="F113" t="s">
        <v>242</v>
      </c>
      <c r="G113" s="130"/>
    </row>
    <row r="114" spans="1:7" x14ac:dyDescent="0.2">
      <c r="A114" s="126" t="s">
        <v>189</v>
      </c>
      <c r="B114" s="52" t="s">
        <v>514</v>
      </c>
      <c r="C114" s="136">
        <v>969181</v>
      </c>
      <c r="D114" s="127"/>
      <c r="E114" s="150">
        <v>8450</v>
      </c>
      <c r="F114" t="s">
        <v>242</v>
      </c>
      <c r="G114" s="130"/>
    </row>
    <row r="115" spans="1:7" x14ac:dyDescent="0.2">
      <c r="A115" s="126" t="s">
        <v>189</v>
      </c>
      <c r="B115" s="52" t="s">
        <v>514</v>
      </c>
      <c r="C115" s="136">
        <v>969167</v>
      </c>
      <c r="D115" s="127"/>
      <c r="E115" s="150">
        <v>16425</v>
      </c>
      <c r="F115" t="s">
        <v>242</v>
      </c>
      <c r="G115" s="130"/>
    </row>
    <row r="116" spans="1:7" x14ac:dyDescent="0.2">
      <c r="A116" s="126" t="s">
        <v>189</v>
      </c>
      <c r="B116" s="52" t="s">
        <v>514</v>
      </c>
      <c r="C116" s="136">
        <v>969202</v>
      </c>
      <c r="D116" s="127"/>
      <c r="E116" s="150">
        <v>6100</v>
      </c>
      <c r="F116" t="s">
        <v>242</v>
      </c>
      <c r="G116" s="130"/>
    </row>
    <row r="117" spans="1:7" x14ac:dyDescent="0.2">
      <c r="A117" s="126" t="s">
        <v>211</v>
      </c>
      <c r="B117" s="52" t="s">
        <v>514</v>
      </c>
      <c r="C117" s="136">
        <v>1085756</v>
      </c>
      <c r="D117" s="127"/>
      <c r="E117" s="150">
        <v>1380</v>
      </c>
      <c r="F117" t="s">
        <v>242</v>
      </c>
      <c r="G117" s="130"/>
    </row>
    <row r="118" spans="1:7" x14ac:dyDescent="0.2">
      <c r="A118" s="126" t="s">
        <v>211</v>
      </c>
      <c r="B118" s="52" t="s">
        <v>514</v>
      </c>
      <c r="C118" s="136">
        <v>1085754</v>
      </c>
      <c r="D118" s="127"/>
      <c r="E118" s="150">
        <v>2800</v>
      </c>
      <c r="F118" t="s">
        <v>242</v>
      </c>
      <c r="G118" s="130"/>
    </row>
    <row r="119" spans="1:7" x14ac:dyDescent="0.2">
      <c r="A119" s="126" t="s">
        <v>211</v>
      </c>
      <c r="B119" s="52" t="s">
        <v>514</v>
      </c>
      <c r="C119" s="136">
        <v>1085750</v>
      </c>
      <c r="D119" s="127"/>
      <c r="E119" s="150">
        <v>2800</v>
      </c>
      <c r="F119" t="s">
        <v>242</v>
      </c>
      <c r="G119" s="130"/>
    </row>
    <row r="120" spans="1:7" x14ac:dyDescent="0.2">
      <c r="A120" s="126" t="s">
        <v>224</v>
      </c>
      <c r="B120" s="52" t="s">
        <v>514</v>
      </c>
      <c r="C120" s="136">
        <v>1109375</v>
      </c>
      <c r="D120" s="127"/>
      <c r="E120" s="150">
        <v>3168.75</v>
      </c>
      <c r="F120" t="s">
        <v>242</v>
      </c>
      <c r="G120" s="130"/>
    </row>
    <row r="121" spans="1:7" x14ac:dyDescent="0.2">
      <c r="A121" s="126" t="s">
        <v>227</v>
      </c>
      <c r="B121" s="52" t="s">
        <v>514</v>
      </c>
      <c r="C121" s="136">
        <v>1041072</v>
      </c>
      <c r="D121" s="127"/>
      <c r="E121" s="150">
        <v>1800</v>
      </c>
      <c r="F121" t="s">
        <v>242</v>
      </c>
      <c r="G121" t="s">
        <v>240</v>
      </c>
    </row>
    <row r="122" spans="1:7" x14ac:dyDescent="0.2">
      <c r="A122" s="126" t="s">
        <v>227</v>
      </c>
      <c r="B122" s="52" t="s">
        <v>514</v>
      </c>
      <c r="C122" s="136">
        <v>1067093</v>
      </c>
      <c r="D122" s="127"/>
      <c r="E122" s="150">
        <v>1056.25</v>
      </c>
      <c r="F122" t="s">
        <v>242</v>
      </c>
      <c r="G122" t="s">
        <v>241</v>
      </c>
    </row>
    <row r="123" spans="1:7" x14ac:dyDescent="0.2">
      <c r="A123" s="126" t="s">
        <v>229</v>
      </c>
      <c r="B123" s="52" t="s">
        <v>514</v>
      </c>
      <c r="C123" s="136">
        <v>1095364</v>
      </c>
      <c r="D123" s="127"/>
      <c r="E123" s="150">
        <v>3963.75</v>
      </c>
      <c r="F123" t="s">
        <v>242</v>
      </c>
      <c r="G123" s="127" t="s">
        <v>230</v>
      </c>
    </row>
    <row r="124" spans="1:7" x14ac:dyDescent="0.2">
      <c r="A124" s="126" t="s">
        <v>232</v>
      </c>
      <c r="B124" s="52" t="s">
        <v>514</v>
      </c>
      <c r="C124" s="136">
        <v>1102666</v>
      </c>
      <c r="D124" s="127"/>
      <c r="E124" s="150">
        <v>1380</v>
      </c>
      <c r="F124" t="s">
        <v>242</v>
      </c>
      <c r="G124" s="127"/>
    </row>
    <row r="125" spans="1:7" x14ac:dyDescent="0.2">
      <c r="A125" s="126" t="s">
        <v>239</v>
      </c>
      <c r="B125" s="52" t="s">
        <v>514</v>
      </c>
      <c r="C125" s="157">
        <v>1116716</v>
      </c>
      <c r="D125"/>
      <c r="E125" s="150">
        <v>2907.5</v>
      </c>
      <c r="F125" t="s">
        <v>242</v>
      </c>
      <c r="G125" s="130"/>
    </row>
    <row r="126" spans="1:7" x14ac:dyDescent="0.2">
      <c r="A126" s="126" t="s">
        <v>247</v>
      </c>
      <c r="B126" s="52" t="s">
        <v>514</v>
      </c>
      <c r="C126" s="157">
        <v>1127568</v>
      </c>
      <c r="D126"/>
      <c r="E126" s="128">
        <v>1380</v>
      </c>
      <c r="F126" t="s">
        <v>242</v>
      </c>
      <c r="G126" s="130"/>
    </row>
    <row r="127" spans="1:7" x14ac:dyDescent="0.2">
      <c r="A127" s="126" t="s">
        <v>291</v>
      </c>
      <c r="B127" s="52" t="s">
        <v>514</v>
      </c>
      <c r="C127" s="157">
        <v>1136180</v>
      </c>
      <c r="D127"/>
      <c r="E127" s="128">
        <v>1056.25</v>
      </c>
      <c r="F127" t="s">
        <v>242</v>
      </c>
      <c r="G127" s="130"/>
    </row>
    <row r="128" spans="1:7" x14ac:dyDescent="0.2">
      <c r="A128" s="126" t="s">
        <v>291</v>
      </c>
      <c r="B128" s="52" t="s">
        <v>514</v>
      </c>
      <c r="C128" s="157">
        <v>1136182</v>
      </c>
      <c r="D128"/>
      <c r="E128" s="128">
        <v>1380</v>
      </c>
      <c r="F128" t="s">
        <v>242</v>
      </c>
      <c r="G128" s="130"/>
    </row>
    <row r="129" spans="1:7" x14ac:dyDescent="0.2">
      <c r="A129" s="126" t="s">
        <v>291</v>
      </c>
      <c r="B129" s="52" t="s">
        <v>514</v>
      </c>
      <c r="C129" s="157">
        <v>1136183</v>
      </c>
      <c r="D129"/>
      <c r="E129" s="128">
        <v>2070</v>
      </c>
      <c r="F129" t="s">
        <v>242</v>
      </c>
      <c r="G129" s="130"/>
    </row>
    <row r="130" spans="1:7" x14ac:dyDescent="0.2">
      <c r="A130" s="126" t="s">
        <v>292</v>
      </c>
      <c r="B130" s="52" t="s">
        <v>514</v>
      </c>
      <c r="C130" s="157">
        <v>1146070</v>
      </c>
      <c r="D130"/>
      <c r="E130" s="128">
        <v>3963.75</v>
      </c>
      <c r="F130" t="s">
        <v>242</v>
      </c>
      <c r="G130" s="130"/>
    </row>
    <row r="131" spans="1:7" x14ac:dyDescent="0.2">
      <c r="A131" s="126" t="s">
        <v>276</v>
      </c>
      <c r="B131" s="52" t="s">
        <v>514</v>
      </c>
      <c r="C131" s="157">
        <v>1155978</v>
      </c>
      <c r="D131"/>
      <c r="E131" s="128">
        <v>795</v>
      </c>
      <c r="F131" t="s">
        <v>242</v>
      </c>
      <c r="G131" s="130"/>
    </row>
    <row r="132" spans="1:7" x14ac:dyDescent="0.2">
      <c r="A132" s="126" t="s">
        <v>293</v>
      </c>
      <c r="B132" s="52" t="s">
        <v>514</v>
      </c>
      <c r="C132" s="157">
        <v>1163439</v>
      </c>
      <c r="D132"/>
      <c r="E132" s="128">
        <v>2171.25</v>
      </c>
      <c r="F132" t="s">
        <v>242</v>
      </c>
      <c r="G132" s="130"/>
    </row>
    <row r="133" spans="1:7" x14ac:dyDescent="0.2">
      <c r="A133" s="126" t="s">
        <v>293</v>
      </c>
      <c r="B133" s="52" t="s">
        <v>514</v>
      </c>
      <c r="C133" s="157">
        <v>1163440</v>
      </c>
      <c r="D133"/>
      <c r="E133" s="128">
        <v>1380</v>
      </c>
      <c r="F133" t="s">
        <v>242</v>
      </c>
      <c r="G133" s="130"/>
    </row>
    <row r="134" spans="1:7" x14ac:dyDescent="0.2">
      <c r="A134" s="126" t="s">
        <v>293</v>
      </c>
      <c r="B134" s="52" t="s">
        <v>514</v>
      </c>
      <c r="C134" s="157">
        <v>1163442</v>
      </c>
      <c r="D134"/>
      <c r="E134" s="128">
        <v>3555</v>
      </c>
      <c r="F134" t="s">
        <v>242</v>
      </c>
      <c r="G134" s="130"/>
    </row>
    <row r="135" spans="1:7" x14ac:dyDescent="0.2">
      <c r="A135" s="126" t="s">
        <v>294</v>
      </c>
      <c r="B135" s="52" t="s">
        <v>514</v>
      </c>
      <c r="C135" s="157">
        <v>1173204</v>
      </c>
      <c r="D135"/>
      <c r="E135" s="128">
        <v>690</v>
      </c>
      <c r="F135" t="s">
        <v>242</v>
      </c>
      <c r="G135" s="130"/>
    </row>
    <row r="136" spans="1:7" x14ac:dyDescent="0.2">
      <c r="A136" s="126" t="s">
        <v>294</v>
      </c>
      <c r="B136" s="52" t="s">
        <v>514</v>
      </c>
      <c r="C136" s="157">
        <v>1173205</v>
      </c>
      <c r="D136"/>
      <c r="E136" s="128">
        <v>1380</v>
      </c>
      <c r="F136" t="s">
        <v>242</v>
      </c>
      <c r="G136" s="130"/>
    </row>
    <row r="137" spans="1:7" x14ac:dyDescent="0.2">
      <c r="A137" s="126" t="s">
        <v>301</v>
      </c>
      <c r="B137" s="52" t="s">
        <v>514</v>
      </c>
      <c r="C137" s="157">
        <v>1181940</v>
      </c>
      <c r="D137"/>
      <c r="E137" s="128">
        <v>2070</v>
      </c>
      <c r="F137" t="s">
        <v>242</v>
      </c>
      <c r="G137" s="130"/>
    </row>
    <row r="138" spans="1:7" x14ac:dyDescent="0.2">
      <c r="A138" s="126" t="s">
        <v>301</v>
      </c>
      <c r="B138" s="52" t="s">
        <v>514</v>
      </c>
      <c r="C138" s="157">
        <v>1181941</v>
      </c>
      <c r="D138"/>
      <c r="E138" s="128">
        <v>2760</v>
      </c>
      <c r="F138" t="s">
        <v>242</v>
      </c>
      <c r="G138" s="130"/>
    </row>
    <row r="139" spans="1:7" x14ac:dyDescent="0.2">
      <c r="A139" s="126" t="s">
        <v>324</v>
      </c>
      <c r="B139" s="52" t="s">
        <v>514</v>
      </c>
      <c r="C139" s="157">
        <v>20020405</v>
      </c>
      <c r="D139"/>
      <c r="E139" s="128">
        <v>2865</v>
      </c>
      <c r="F139" t="s">
        <v>242</v>
      </c>
      <c r="G139" s="130"/>
    </row>
    <row r="140" spans="1:7" x14ac:dyDescent="0.2">
      <c r="A140" s="126" t="s">
        <v>325</v>
      </c>
      <c r="B140" s="52" t="s">
        <v>514</v>
      </c>
      <c r="C140" s="157">
        <v>20021406</v>
      </c>
      <c r="D140"/>
      <c r="E140" s="128">
        <v>690</v>
      </c>
      <c r="F140" t="s">
        <v>242</v>
      </c>
      <c r="G140" s="130"/>
    </row>
    <row r="141" spans="1:7" x14ac:dyDescent="0.2">
      <c r="A141" s="126" t="s">
        <v>325</v>
      </c>
      <c r="B141" s="52" t="s">
        <v>514</v>
      </c>
      <c r="C141" s="157">
        <v>20021411</v>
      </c>
      <c r="D141"/>
      <c r="E141" s="128">
        <v>1380</v>
      </c>
      <c r="F141" t="s">
        <v>242</v>
      </c>
      <c r="G141" s="130"/>
    </row>
    <row r="142" spans="1:7" x14ac:dyDescent="0.2">
      <c r="A142" s="126" t="s">
        <v>334</v>
      </c>
      <c r="B142" s="52" t="s">
        <v>514</v>
      </c>
      <c r="C142" s="157">
        <v>20031229</v>
      </c>
      <c r="D142"/>
      <c r="E142" s="128">
        <v>1380</v>
      </c>
      <c r="F142" t="s">
        <v>242</v>
      </c>
      <c r="G142" s="130"/>
    </row>
    <row r="143" spans="1:7" x14ac:dyDescent="0.2">
      <c r="A143" s="126" t="s">
        <v>334</v>
      </c>
      <c r="B143" s="52" t="s">
        <v>514</v>
      </c>
      <c r="C143" s="157">
        <v>20031230</v>
      </c>
      <c r="D143"/>
      <c r="E143" s="128">
        <v>690</v>
      </c>
      <c r="F143" t="s">
        <v>242</v>
      </c>
      <c r="G143" s="130"/>
    </row>
    <row r="144" spans="1:7" x14ac:dyDescent="0.2">
      <c r="A144" s="126" t="s">
        <v>334</v>
      </c>
      <c r="B144" s="52" t="s">
        <v>514</v>
      </c>
      <c r="C144" s="157">
        <v>20031232</v>
      </c>
      <c r="D144"/>
      <c r="E144" s="128">
        <v>1056.26</v>
      </c>
      <c r="F144" t="s">
        <v>242</v>
      </c>
      <c r="G144" s="130"/>
    </row>
    <row r="145" spans="1:7" x14ac:dyDescent="0.2">
      <c r="A145" s="126" t="s">
        <v>335</v>
      </c>
      <c r="B145" s="52" t="s">
        <v>514</v>
      </c>
      <c r="C145" s="157">
        <v>20031357</v>
      </c>
      <c r="D145"/>
      <c r="E145" s="128">
        <v>1105</v>
      </c>
      <c r="F145" t="s">
        <v>242</v>
      </c>
      <c r="G145" s="130"/>
    </row>
    <row r="146" spans="1:7" x14ac:dyDescent="0.2">
      <c r="A146" s="126" t="s">
        <v>338</v>
      </c>
      <c r="B146" s="52" t="s">
        <v>514</v>
      </c>
      <c r="C146" s="157">
        <v>20036758</v>
      </c>
      <c r="D146"/>
      <c r="E146" s="128">
        <v>2070</v>
      </c>
      <c r="F146" t="s">
        <v>242</v>
      </c>
      <c r="G146" s="130"/>
    </row>
    <row r="147" spans="1:7" x14ac:dyDescent="0.2">
      <c r="A147" s="126" t="s">
        <v>366</v>
      </c>
      <c r="B147" s="52" t="s">
        <v>514</v>
      </c>
      <c r="C147" s="157">
        <v>20051018</v>
      </c>
      <c r="D147"/>
      <c r="E147" s="128">
        <v>1485</v>
      </c>
      <c r="F147" t="s">
        <v>242</v>
      </c>
      <c r="G147" s="130"/>
    </row>
    <row r="148" spans="1:7" x14ac:dyDescent="0.2">
      <c r="A148" s="126" t="s">
        <v>366</v>
      </c>
      <c r="B148" s="52" t="s">
        <v>514</v>
      </c>
      <c r="C148" s="157">
        <v>20051020</v>
      </c>
      <c r="D148"/>
      <c r="E148" s="128">
        <v>1485</v>
      </c>
      <c r="F148" t="s">
        <v>242</v>
      </c>
      <c r="G148" s="130"/>
    </row>
    <row r="149" spans="1:7" x14ac:dyDescent="0.2">
      <c r="A149" s="126" t="s">
        <v>366</v>
      </c>
      <c r="B149" s="52" t="s">
        <v>514</v>
      </c>
      <c r="C149" s="157">
        <v>20051022</v>
      </c>
      <c r="D149"/>
      <c r="E149" s="128">
        <v>1390</v>
      </c>
      <c r="F149" t="s">
        <v>242</v>
      </c>
      <c r="G149" s="130"/>
    </row>
    <row r="150" spans="1:7" x14ac:dyDescent="0.2">
      <c r="A150" s="126" t="s">
        <v>373</v>
      </c>
      <c r="B150" s="52" t="s">
        <v>514</v>
      </c>
      <c r="C150" s="157">
        <v>20066386</v>
      </c>
      <c r="D150"/>
      <c r="E150" s="128">
        <v>1380</v>
      </c>
      <c r="F150" t="s">
        <v>242</v>
      </c>
      <c r="G150" s="130"/>
    </row>
    <row r="151" spans="1:7" x14ac:dyDescent="0.2">
      <c r="A151" s="212" t="s">
        <v>396</v>
      </c>
      <c r="B151" s="52" t="s">
        <v>514</v>
      </c>
      <c r="C151" s="157">
        <v>20081469</v>
      </c>
      <c r="D151"/>
      <c r="E151" s="128">
        <v>1585</v>
      </c>
      <c r="F151" t="s">
        <v>242</v>
      </c>
      <c r="G151" s="130"/>
    </row>
    <row r="152" spans="1:7" x14ac:dyDescent="0.2">
      <c r="A152" s="212" t="s">
        <v>396</v>
      </c>
      <c r="B152" s="52" t="s">
        <v>514</v>
      </c>
      <c r="C152" s="157">
        <v>20081445</v>
      </c>
      <c r="D152"/>
      <c r="E152" s="128">
        <v>1470</v>
      </c>
      <c r="F152" t="s">
        <v>242</v>
      </c>
      <c r="G152" s="130"/>
    </row>
    <row r="153" spans="1:7" x14ac:dyDescent="0.2">
      <c r="A153" s="212" t="s">
        <v>397</v>
      </c>
      <c r="B153" s="52" t="s">
        <v>514</v>
      </c>
      <c r="C153" s="157">
        <v>20097453</v>
      </c>
      <c r="D153"/>
      <c r="E153" s="128">
        <v>2490</v>
      </c>
      <c r="F153" t="s">
        <v>242</v>
      </c>
      <c r="G153" s="130"/>
    </row>
    <row r="154" spans="1:7" x14ac:dyDescent="0.2">
      <c r="A154" s="212" t="s">
        <v>415</v>
      </c>
      <c r="B154" s="52" t="s">
        <v>514</v>
      </c>
      <c r="C154" s="157">
        <v>20112116</v>
      </c>
      <c r="D154"/>
      <c r="E154" s="128">
        <v>2080</v>
      </c>
      <c r="F154" t="s">
        <v>242</v>
      </c>
      <c r="G154" s="130"/>
    </row>
    <row r="155" spans="1:7" x14ac:dyDescent="0.2">
      <c r="A155" s="212" t="s">
        <v>416</v>
      </c>
      <c r="B155" s="52" t="s">
        <v>514</v>
      </c>
      <c r="C155" s="157">
        <v>20126409</v>
      </c>
      <c r="D155"/>
      <c r="E155" s="128">
        <v>1215</v>
      </c>
      <c r="F155" t="s">
        <v>242</v>
      </c>
      <c r="G155" s="130"/>
    </row>
    <row r="156" spans="1:7" x14ac:dyDescent="0.2">
      <c r="A156" s="212" t="s">
        <v>457</v>
      </c>
      <c r="B156" s="52" t="s">
        <v>514</v>
      </c>
      <c r="C156" s="157">
        <v>20171863</v>
      </c>
      <c r="D156"/>
      <c r="E156" s="128">
        <v>690</v>
      </c>
      <c r="F156" t="s">
        <v>242</v>
      </c>
      <c r="G156" s="130"/>
    </row>
    <row r="157" spans="1:7" x14ac:dyDescent="0.2">
      <c r="A157" s="131"/>
      <c r="B157" s="132"/>
      <c r="C157" s="132"/>
      <c r="D157" s="133" t="s">
        <v>10</v>
      </c>
      <c r="E157" s="134">
        <f>SUM(E84:E156)</f>
        <v>225745.01</v>
      </c>
      <c r="F157" s="135"/>
      <c r="G157" s="135"/>
    </row>
    <row r="158" spans="1:7" x14ac:dyDescent="0.2">
      <c r="A158" s="131"/>
      <c r="B158" s="52"/>
      <c r="C158" s="129"/>
      <c r="D158" s="127"/>
      <c r="E158" s="138"/>
      <c r="F158"/>
      <c r="G158" s="130"/>
    </row>
    <row r="159" spans="1:7" x14ac:dyDescent="0.2">
      <c r="B159" s="136"/>
      <c r="F159" s="117"/>
    </row>
    <row r="160" spans="1:7" x14ac:dyDescent="0.2">
      <c r="A160" s="121" t="s">
        <v>156</v>
      </c>
      <c r="B160" s="121" t="s">
        <v>157</v>
      </c>
      <c r="C160" s="121" t="s">
        <v>158</v>
      </c>
      <c r="D160" s="121" t="s">
        <v>159</v>
      </c>
      <c r="E160" s="122" t="s">
        <v>160</v>
      </c>
      <c r="F160" s="123" t="s">
        <v>238</v>
      </c>
      <c r="G160" s="124"/>
    </row>
    <row r="161" spans="1:7" x14ac:dyDescent="0.2">
      <c r="A161" s="125"/>
      <c r="B161"/>
      <c r="C161"/>
      <c r="D161"/>
      <c r="E161"/>
      <c r="F161"/>
      <c r="G161"/>
    </row>
    <row r="162" spans="1:7" x14ac:dyDescent="0.2">
      <c r="A162" s="126" t="s">
        <v>315</v>
      </c>
      <c r="B162" s="52" t="s">
        <v>515</v>
      </c>
      <c r="C162" s="129">
        <v>125124</v>
      </c>
      <c r="D162" s="127"/>
      <c r="E162" s="128">
        <v>4250</v>
      </c>
      <c r="F162" s="127" t="s">
        <v>242</v>
      </c>
      <c r="G162" s="129"/>
    </row>
    <row r="163" spans="1:7" x14ac:dyDescent="0.2">
      <c r="A163" s="126" t="s">
        <v>315</v>
      </c>
      <c r="B163" s="52" t="s">
        <v>515</v>
      </c>
      <c r="C163" s="129">
        <v>125126</v>
      </c>
      <c r="D163" s="127"/>
      <c r="E163" s="128">
        <v>4250</v>
      </c>
      <c r="F163" s="127" t="s">
        <v>242</v>
      </c>
      <c r="G163" s="129"/>
    </row>
    <row r="164" spans="1:7" x14ac:dyDescent="0.2">
      <c r="A164" s="212" t="s">
        <v>456</v>
      </c>
      <c r="B164" s="52" t="s">
        <v>515</v>
      </c>
      <c r="C164" s="129">
        <v>126862</v>
      </c>
      <c r="D164" s="127"/>
      <c r="E164" s="128">
        <v>4250</v>
      </c>
      <c r="F164" t="s">
        <v>242</v>
      </c>
      <c r="G164" s="129"/>
    </row>
    <row r="165" spans="1:7" x14ac:dyDescent="0.2">
      <c r="A165" s="212" t="s">
        <v>473</v>
      </c>
      <c r="B165" s="52" t="s">
        <v>515</v>
      </c>
      <c r="C165" s="129">
        <v>126990</v>
      </c>
      <c r="D165" s="127"/>
      <c r="E165" s="128">
        <v>4250</v>
      </c>
      <c r="F165" t="s">
        <v>242</v>
      </c>
      <c r="G165" s="129"/>
    </row>
    <row r="166" spans="1:7" x14ac:dyDescent="0.2">
      <c r="A166" s="131"/>
      <c r="B166" s="132"/>
      <c r="C166" s="132"/>
      <c r="D166" s="133" t="s">
        <v>10</v>
      </c>
      <c r="E166" s="134">
        <f>SUM(E162:E165)</f>
        <v>17000</v>
      </c>
      <c r="F166" s="135"/>
      <c r="G166" s="135"/>
    </row>
    <row r="167" spans="1:7" x14ac:dyDescent="0.2">
      <c r="A167" s="131"/>
      <c r="B167" s="52"/>
      <c r="C167" s="129"/>
      <c r="D167" s="127"/>
      <c r="E167" s="138"/>
      <c r="F167"/>
      <c r="G167" s="130"/>
    </row>
    <row r="168" spans="1:7" x14ac:dyDescent="0.2">
      <c r="B168" s="136"/>
      <c r="F168" s="117"/>
    </row>
    <row r="169" spans="1:7" x14ac:dyDescent="0.2">
      <c r="A169" s="121" t="s">
        <v>156</v>
      </c>
      <c r="B169" s="121" t="s">
        <v>157</v>
      </c>
      <c r="C169" s="121" t="s">
        <v>158</v>
      </c>
      <c r="D169" s="121" t="s">
        <v>159</v>
      </c>
      <c r="E169" s="122" t="s">
        <v>160</v>
      </c>
      <c r="F169" s="123" t="s">
        <v>238</v>
      </c>
      <c r="G169" s="124"/>
    </row>
    <row r="170" spans="1:7" x14ac:dyDescent="0.2">
      <c r="A170" s="125"/>
      <c r="B170"/>
      <c r="C170"/>
      <c r="D170"/>
      <c r="E170"/>
      <c r="F170"/>
      <c r="G170"/>
    </row>
    <row r="171" spans="1:7" x14ac:dyDescent="0.2">
      <c r="A171" s="126" t="s">
        <v>375</v>
      </c>
      <c r="B171" s="52" t="s">
        <v>512</v>
      </c>
      <c r="C171" s="129">
        <v>1049</v>
      </c>
      <c r="D171" s="127" t="s">
        <v>376</v>
      </c>
      <c r="E171" s="128">
        <v>3605</v>
      </c>
      <c r="F171" s="127" t="s">
        <v>242</v>
      </c>
      <c r="G171" s="129"/>
    </row>
    <row r="172" spans="1:7" x14ac:dyDescent="0.2">
      <c r="A172" s="212" t="s">
        <v>440</v>
      </c>
      <c r="B172" s="52" t="s">
        <v>512</v>
      </c>
      <c r="C172" s="129">
        <v>1097</v>
      </c>
      <c r="D172" s="213" t="s">
        <v>441</v>
      </c>
      <c r="E172" s="128">
        <v>1852.5</v>
      </c>
      <c r="F172" s="127" t="s">
        <v>242</v>
      </c>
      <c r="G172" s="129"/>
    </row>
    <row r="173" spans="1:7" x14ac:dyDescent="0.2">
      <c r="A173" s="212" t="s">
        <v>440</v>
      </c>
      <c r="B173" s="52" t="s">
        <v>512</v>
      </c>
      <c r="C173" s="129">
        <v>1098</v>
      </c>
      <c r="D173" s="213" t="s">
        <v>442</v>
      </c>
      <c r="E173" s="128">
        <v>1995</v>
      </c>
      <c r="F173" s="127" t="s">
        <v>242</v>
      </c>
      <c r="G173" s="129"/>
    </row>
    <row r="174" spans="1:7" x14ac:dyDescent="0.2">
      <c r="A174" s="212" t="s">
        <v>440</v>
      </c>
      <c r="B174" s="52" t="s">
        <v>512</v>
      </c>
      <c r="C174" s="129">
        <v>1099</v>
      </c>
      <c r="D174" s="213" t="s">
        <v>443</v>
      </c>
      <c r="E174" s="128">
        <v>1710</v>
      </c>
      <c r="F174" s="127" t="s">
        <v>242</v>
      </c>
      <c r="G174" s="129"/>
    </row>
    <row r="175" spans="1:7" x14ac:dyDescent="0.2">
      <c r="A175" s="131"/>
      <c r="B175" s="52"/>
      <c r="C175" s="129"/>
      <c r="D175" s="127"/>
      <c r="E175" s="128"/>
      <c r="F175" s="127"/>
      <c r="G175" s="129"/>
    </row>
    <row r="176" spans="1:7" x14ac:dyDescent="0.2">
      <c r="A176" s="131"/>
      <c r="B176" s="132"/>
      <c r="C176" s="132"/>
      <c r="D176" s="133" t="s">
        <v>10</v>
      </c>
      <c r="E176" s="134">
        <f>SUM(E171:E175)</f>
        <v>9162.5</v>
      </c>
      <c r="F176" s="135"/>
      <c r="G176" s="135"/>
    </row>
    <row r="177" spans="1:7" x14ac:dyDescent="0.2">
      <c r="A177" s="131"/>
      <c r="B177" s="132"/>
      <c r="C177" s="132"/>
      <c r="D177" s="133"/>
      <c r="E177" s="134"/>
      <c r="F177" s="135"/>
      <c r="G177" s="135"/>
    </row>
    <row r="178" spans="1:7" x14ac:dyDescent="0.2">
      <c r="A178" s="131"/>
      <c r="B178" s="132"/>
      <c r="C178" s="132"/>
      <c r="D178" s="133"/>
      <c r="E178" s="134"/>
      <c r="F178" s="135"/>
      <c r="G178" s="135"/>
    </row>
    <row r="179" spans="1:7" x14ac:dyDescent="0.2">
      <c r="A179" s="139"/>
      <c r="B179" s="140"/>
      <c r="C179" s="141"/>
      <c r="D179" s="142"/>
      <c r="E179" s="143">
        <f>+E157+E70+E32+E80+E60+E38+E166+E176</f>
        <v>450633.01</v>
      </c>
      <c r="F179" s="144"/>
      <c r="G179" s="145"/>
    </row>
    <row r="180" spans="1:7" x14ac:dyDescent="0.2">
      <c r="E180" s="34">
        <f>+E179-consolidé!Q68</f>
        <v>0</v>
      </c>
    </row>
  </sheetData>
  <pageMargins left="0" right="0" top="0.19685039370078741" bottom="0" header="0.39370078740157483" footer="0.15748031496062992"/>
  <pageSetup scale="41" orientation="landscape" cellComments="asDisplaye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7</vt:i4>
      </vt:variant>
    </vt:vector>
  </HeadingPairs>
  <TitlesOfParts>
    <vt:vector size="15" baseType="lpstr">
      <vt:lpstr>Tableau de Bord</vt:lpstr>
      <vt:lpstr>consolidé</vt:lpstr>
      <vt:lpstr>Facturation Client</vt:lpstr>
      <vt:lpstr>Société C-1</vt:lpstr>
      <vt:lpstr>Société C-2</vt:lpstr>
      <vt:lpstr>Société B</vt:lpstr>
      <vt:lpstr>Société A</vt:lpstr>
      <vt:lpstr>Consultants</vt:lpstr>
      <vt:lpstr>consolidé!Print_Area</vt:lpstr>
      <vt:lpstr>'Facturation Client'!Print_Area</vt:lpstr>
      <vt:lpstr>'Société A'!Print_Area</vt:lpstr>
      <vt:lpstr>'Société B'!Print_Area</vt:lpstr>
      <vt:lpstr>'Société C-1'!Print_Area</vt:lpstr>
      <vt:lpstr>'Société C-2'!Print_Area</vt:lpstr>
      <vt:lpstr>consolidé!Zone_d_impression</vt:lpstr>
    </vt:vector>
  </TitlesOfParts>
  <Company>Moureaux &amp; Hauspy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cgirard</dc:creator>
  <cp:lastModifiedBy>Philippe Haumesser</cp:lastModifiedBy>
  <cp:lastPrinted>2017-12-13T20:40:32Z</cp:lastPrinted>
  <dcterms:created xsi:type="dcterms:W3CDTF">2011-01-07T15:46:52Z</dcterms:created>
  <dcterms:modified xsi:type="dcterms:W3CDTF">2026-03-04T22:24:20Z</dcterms:modified>
</cp:coreProperties>
</file>